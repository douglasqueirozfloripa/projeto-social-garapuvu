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gras de Negócio" sheetId="2" state="visible" r:id="rId4"/>
    <sheet name="Feature Flags" sheetId="3" state="visible" r:id="rId5"/>
    <sheet name="Casos de Teste" sheetId="4" state="visible" r:id="rId6"/>
    <sheet name="Cenários BDD (Gherkin)" sheetId="5" state="visible" r:id="rId7"/>
    <sheet name="Impacto e Dependênci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<sst xmlns="http://schemas.openxmlformats.org/spreadsheetml/2006/main" count="590" uniqueCount="342">
  <si>
    <t xml:space="preserve">Matriz de Rastreabilidade — FreelaAvalia 360</t>
  </si>
  <si>
    <t xml:space="preserve">Módulo 2 · Aula 11 — Testes funcionais e rastreabilidade · Projeto Social Garapuvu 2026</t>
  </si>
  <si>
    <t xml:space="preserve">O que é este arquivo</t>
  </si>
  <si>
    <t xml:space="preserve">Exemplo de matriz de rastreabilidade do sistema web do projeto (FreelaAvalia 360 — plataforma de freelancers com avaliação 360°). Liga cada REGRA DE NEGÓCIO e cada FEATURE FLAG aos casos de teste e defeitos.</t>
  </si>
  <si>
    <t xml:space="preserve">Para que serve</t>
  </si>
  <si>
    <t xml:space="preserve">Provar que todo requisito/regra tem teste (cobertura), enxergar o que ainda não foi testado e ligar cada defeito à sua origem. É a ponte entre o que o sistema deve fazer e o que foi de fato verificado.</t>
  </si>
  <si>
    <t xml:space="preserve">Abas</t>
  </si>
  <si>
    <t xml:space="preserve">1) Regras de Negócio. 2) Feature Flags. 3) Casos de Teste (CT-xx). 4) Cenários BDD (Gherkin) — cada caso vira um cenário positivo ou negativo em Dado/Quando/Então. 5) Impacto e Dependências — o que retestar quando algo muda.</t>
  </si>
  <si>
    <t xml:space="preserve">Conceito-chave (feature flag)</t>
  </si>
  <si>
    <t xml:space="preserve">Uma feature flag liga/desliga uma funcionalidade sem novo deploy. Por isso ela precisa ser testada nos DOIS estados: LIGADA (comportamento novo) e DESLIGADA (comportamento antigo continua funcionando). A matriz de flags tem um caso para cada estado.</t>
  </si>
  <si>
    <t xml:space="preserve">Ligação com a CTFL</t>
  </si>
  <si>
    <t xml:space="preserve">Rastreabilidade dá cobertura e base para avaliação de saída (Cap. 1 e 5). Regras usam técnicas de caixa-preta: partição de equivalência, valor-limite e transição de estados (Cap. 4). Flags são bom alvo de teste de decisão e de regressão (Cap. 2/4).</t>
  </si>
  <si>
    <t xml:space="preserve">Como preencher</t>
  </si>
  <si>
    <t xml:space="preserve">Edite as células de Status pelo menu suspenso (Aprovado, Reprovado, Em teste, Não executado, Bloqueado). Vermelho = atenção; verde = ok; amarelo = pendente. O bloco Resumo conta os status automaticamente.</t>
  </si>
  <si>
    <t xml:space="preserve">Legenda de cores</t>
  </si>
  <si>
    <t xml:space="preserve">Verde: aprovado. Vermelho: reprovado/bloqueado (há defeito ou risco aberto). Amarelo: em teste ou não executado (cobertura ainda pendente).</t>
  </si>
  <si>
    <t xml:space="preserve">Rastreabilidade — Regras de Negócio</t>
  </si>
  <si>
    <t xml:space="preserve">Cada regra de negócio ligada ao requisito, aos casos de teste, à técnica aplicada e ao status/defeito.</t>
  </si>
  <si>
    <t xml:space="preserve">RN ID</t>
  </si>
  <si>
    <t xml:space="preserve">Regra de negócio</t>
  </si>
  <si>
    <t xml:space="preserve">Requisito</t>
  </si>
  <si>
    <t xml:space="preserve">Caso(s) de teste</t>
  </si>
  <si>
    <t xml:space="preserve">Técnica de teste</t>
  </si>
  <si>
    <t xml:space="preserve">Prioridade</t>
  </si>
  <si>
    <t xml:space="preserve">Status</t>
  </si>
  <si>
    <t xml:space="preserve">Defeito</t>
  </si>
  <si>
    <t xml:space="preserve">RN-01</t>
  </si>
  <si>
    <t xml:space="preserve">E-mail deve ser único no cadastro</t>
  </si>
  <si>
    <t xml:space="preserve">RF-Cadastro</t>
  </si>
  <si>
    <t xml:space="preserve">CT-01, CT-02</t>
  </si>
  <si>
    <t xml:space="preserve">Partição de equivalência</t>
  </si>
  <si>
    <t xml:space="preserve">Alta</t>
  </si>
  <si>
    <t xml:space="preserve">Aprovado</t>
  </si>
  <si>
    <t xml:space="preserve">—</t>
  </si>
  <si>
    <t xml:space="preserve">RN-02</t>
  </si>
  <si>
    <t xml:space="preserve">Senha com no mínimo 4 caracteres</t>
  </si>
  <si>
    <t xml:space="preserve">CT-03, CT-04</t>
  </si>
  <si>
    <t xml:space="preserve">Análise de valor-limite</t>
  </si>
  <si>
    <t xml:space="preserve">RN-03</t>
  </si>
  <si>
    <t xml:space="preserve">Papel deve ser 'freelancer' ou 'contratante'</t>
  </si>
  <si>
    <t xml:space="preserve">CT-05</t>
  </si>
  <si>
    <t xml:space="preserve">Média</t>
  </si>
  <si>
    <t xml:space="preserve">RN-04</t>
  </si>
  <si>
    <t xml:space="preserve">Apenas contratante pode criar projeto</t>
  </si>
  <si>
    <t xml:space="preserve">RF-Projeto</t>
  </si>
  <si>
    <t xml:space="preserve">CT-06, CT-07</t>
  </si>
  <si>
    <t xml:space="preserve">Teste de permissão (negativo)</t>
  </si>
  <si>
    <t xml:space="preserve">Reprovado</t>
  </si>
  <si>
    <t xml:space="preserve">BUG-21</t>
  </si>
  <si>
    <t xml:space="preserve">RN-05</t>
  </si>
  <si>
    <t xml:space="preserve">Avaliação 360° só após contrato CONCLUÍDO</t>
  </si>
  <si>
    <t xml:space="preserve">RF-Avaliacao</t>
  </si>
  <si>
    <t xml:space="preserve">CT-08, CT-09</t>
  </si>
  <si>
    <t xml:space="preserve">Transição de estados</t>
  </si>
  <si>
    <t xml:space="preserve">RN-06</t>
  </si>
  <si>
    <t xml:space="preserve">Nota da avaliação deve ficar entre 1 e 5</t>
  </si>
  <si>
    <t xml:space="preserve">CT-10, CT-11</t>
  </si>
  <si>
    <t xml:space="preserve">BUG-22</t>
  </si>
  <si>
    <t xml:space="preserve">RN-07</t>
  </si>
  <si>
    <t xml:space="preserve">Uma avaliação por parte por contrato</t>
  </si>
  <si>
    <t xml:space="preserve">CT-12</t>
  </si>
  <si>
    <t xml:space="preserve">Teste negativo (duplicidade)</t>
  </si>
  <si>
    <t xml:space="preserve">RN-08</t>
  </si>
  <si>
    <t xml:space="preserve">A API nunca retorna a senha do usuário</t>
  </si>
  <si>
    <t xml:space="preserve">RF-Seguranca</t>
  </si>
  <si>
    <t xml:space="preserve">CT-13</t>
  </si>
  <si>
    <t xml:space="preserve">Teste de segurança</t>
  </si>
  <si>
    <t xml:space="preserve">RN-09</t>
  </si>
  <si>
    <t xml:space="preserve">Avaliador e avaliado devem ser partes do contrato</t>
  </si>
  <si>
    <t xml:space="preserve">CT-14</t>
  </si>
  <si>
    <t xml:space="preserve">Teste de autorização (negativo)</t>
  </si>
  <si>
    <t xml:space="preserve">Não executado</t>
  </si>
  <si>
    <t xml:space="preserve">RN-10</t>
  </si>
  <si>
    <t xml:space="preserve">Reputação = média das notas recebidas</t>
  </si>
  <si>
    <t xml:space="preserve">RF-Perfil</t>
  </si>
  <si>
    <t xml:space="preserve">CT-15</t>
  </si>
  <si>
    <t xml:space="preserve">Cálculo / equivalência</t>
  </si>
  <si>
    <t xml:space="preserve">Resumo</t>
  </si>
  <si>
    <t xml:space="preserve">Total de regras</t>
  </si>
  <si>
    <t xml:space="preserve">Em teste</t>
  </si>
  <si>
    <t xml:space="preserve">Cobertura testada (%)</t>
  </si>
  <si>
    <t xml:space="preserve">Rastreabilidade — Feature Flags</t>
  </si>
  <si>
    <t xml:space="preserve">Toda flag é testada nos DOIS estados: LIGADA (comportamento novo) e DESLIGADA (o antigo continua funcionando).</t>
  </si>
  <si>
    <t xml:space="preserve">FF ID</t>
  </si>
  <si>
    <t xml:space="preserve">Flag (chave)</t>
  </si>
  <si>
    <t xml:space="preserve">Descrição</t>
  </si>
  <si>
    <t xml:space="preserve">Estado atual</t>
  </si>
  <si>
    <t xml:space="preserve">Relacionada</t>
  </si>
  <si>
    <t xml:space="preserve">Caso flag ON</t>
  </si>
  <si>
    <t xml:space="preserve">Esperado (ON)</t>
  </si>
  <si>
    <t xml:space="preserve">Caso flag OFF</t>
  </si>
  <si>
    <t xml:space="preserve">Esperado (OFF)</t>
  </si>
  <si>
    <t xml:space="preserve">Defeito/Obs.</t>
  </si>
  <si>
    <t xml:space="preserve">FF-01</t>
  </si>
  <si>
    <t xml:space="preserve">pagamento_destaque</t>
  </si>
  <si>
    <t xml:space="preserve">Habilita a taxa para destacar um projeto na busca</t>
  </si>
  <si>
    <t xml:space="preserve">OFF (prod) / ON (staging)</t>
  </si>
  <si>
    <t xml:space="preserve">RF-Pagamento</t>
  </si>
  <si>
    <t xml:space="preserve">CT-30</t>
  </si>
  <si>
    <t xml:space="preserve">Botão 'Destacar' aparece e cobra a taxa</t>
  </si>
  <si>
    <t xml:space="preserve">CT-31</t>
  </si>
  <si>
    <t xml:space="preserve">Botão some; publicação segue normal e grátis</t>
  </si>
  <si>
    <t xml:space="preserve">FF-02</t>
  </si>
  <si>
    <t xml:space="preserve">login_google</t>
  </si>
  <si>
    <t xml:space="preserve">Login social com conta Google</t>
  </si>
  <si>
    <t xml:space="preserve">Canary 10%</t>
  </si>
  <si>
    <t xml:space="preserve">RF-Login</t>
  </si>
  <si>
    <t xml:space="preserve">CT-32</t>
  </si>
  <si>
    <t xml:space="preserve">Botão 'Entrar com Google' autentica e cria/associa a conta</t>
  </si>
  <si>
    <t xml:space="preserve">CT-33</t>
  </si>
  <si>
    <t xml:space="preserve">Só login por e-mail e senha</t>
  </si>
  <si>
    <t xml:space="preserve">FF-03</t>
  </si>
  <si>
    <t xml:space="preserve">avaliacao_anonima</t>
  </si>
  <si>
    <t xml:space="preserve">Permite avaliar sem exibir quem avaliou</t>
  </si>
  <si>
    <t xml:space="preserve">OFF</t>
  </si>
  <si>
    <t xml:space="preserve">RN-08 / RF-Avaliacao</t>
  </si>
  <si>
    <t xml:space="preserve">CT-34</t>
  </si>
  <si>
    <t xml:space="preserve">Nome do autor fica oculto na avaliação</t>
  </si>
  <si>
    <t xml:space="preserve">CT-35</t>
  </si>
  <si>
    <t xml:space="preserve">Nome do autor aparece na avaliação</t>
  </si>
  <si>
    <t xml:space="preserve">BUG-23 (nome vaza no estado ON)</t>
  </si>
  <si>
    <t xml:space="preserve">FF-04</t>
  </si>
  <si>
    <t xml:space="preserve">novo_dashboard</t>
  </si>
  <si>
    <t xml:space="preserve">Novo layout do painel do usuário</t>
  </si>
  <si>
    <t xml:space="preserve">Canary 25%</t>
  </si>
  <si>
    <t xml:space="preserve">RF-Dashboard</t>
  </si>
  <si>
    <t xml:space="preserve">CT-36</t>
  </si>
  <si>
    <t xml:space="preserve">Usuário vê o novo painel</t>
  </si>
  <si>
    <t xml:space="preserve">CT-37</t>
  </si>
  <si>
    <t xml:space="preserve">Usuário vê o painel antigo</t>
  </si>
  <si>
    <t xml:space="preserve">FF-05</t>
  </si>
  <si>
    <t xml:space="preserve">notificacao_email</t>
  </si>
  <si>
    <t xml:space="preserve">E-mail ao receber uma nova proposta</t>
  </si>
  <si>
    <t xml:space="preserve">ON (staging)</t>
  </si>
  <si>
    <t xml:space="preserve">RF-Notificacao</t>
  </si>
  <si>
    <t xml:space="preserve">CT-38</t>
  </si>
  <si>
    <t xml:space="preserve">E-mail é enviado ao contratante</t>
  </si>
  <si>
    <t xml:space="preserve">CT-39</t>
  </si>
  <si>
    <t xml:space="preserve">Nenhum e-mail é enviado</t>
  </si>
  <si>
    <t xml:space="preserve">FF-06</t>
  </si>
  <si>
    <t xml:space="preserve">modo_manutencao</t>
  </si>
  <si>
    <t xml:space="preserve">Bloqueia o sistema exibindo aviso de manutenção</t>
  </si>
  <si>
    <t xml:space="preserve">RF-Infra</t>
  </si>
  <si>
    <t xml:space="preserve">CT-40</t>
  </si>
  <si>
    <t xml:space="preserve">Todos veem a página de manutenção</t>
  </si>
  <si>
    <t xml:space="preserve">CT-41</t>
  </si>
  <si>
    <t xml:space="preserve">Sistema opera normalmente</t>
  </si>
  <si>
    <t xml:space="preserve">Total de flags</t>
  </si>
  <si>
    <t xml:space="preserve">Cobertura ON+OFF</t>
  </si>
  <si>
    <t xml:space="preserve">Casos de Teste (referenciados nas matrizes)</t>
  </si>
  <si>
    <t xml:space="preserve">Descrição resumida de cada CT citado nas abas de rastreabilidade.</t>
  </si>
  <si>
    <t xml:space="preserve">CT ID</t>
  </si>
  <si>
    <t xml:space="preserve">Título</t>
  </si>
  <si>
    <t xml:space="preserve">Pré-condição</t>
  </si>
  <si>
    <t xml:space="preserve">Resultado esperado</t>
  </si>
  <si>
    <t xml:space="preserve">CT-01</t>
  </si>
  <si>
    <t xml:space="preserve">Cadastro com e-mail novo</t>
  </si>
  <si>
    <t xml:space="preserve">Nenhum usuário com o e-mail</t>
  </si>
  <si>
    <t xml:space="preserve">Conta criada com sucesso</t>
  </si>
  <si>
    <t xml:space="preserve">CT-02</t>
  </si>
  <si>
    <t xml:space="preserve">Cadastro com e-mail já usado</t>
  </si>
  <si>
    <t xml:space="preserve">E-mail já cadastrado</t>
  </si>
  <si>
    <t xml:space="preserve">Sistema recusa: 'e-mail já cadastrado'</t>
  </si>
  <si>
    <t xml:space="preserve">CT-03</t>
  </si>
  <si>
    <t xml:space="preserve">Senha com 4 caracteres</t>
  </si>
  <si>
    <t xml:space="preserve">Tela de cadastro</t>
  </si>
  <si>
    <t xml:space="preserve">Aceita (limite mínimo válido)</t>
  </si>
  <si>
    <t xml:space="preserve">CT-04</t>
  </si>
  <si>
    <t xml:space="preserve">Senha com 3 caracteres</t>
  </si>
  <si>
    <t xml:space="preserve">Recusa: 'senha muito curta'</t>
  </si>
  <si>
    <t xml:space="preserve">Cadastro com papel inválido</t>
  </si>
  <si>
    <t xml:space="preserve">Recusa papel diferente de freelancer/contratante</t>
  </si>
  <si>
    <t xml:space="preserve">CT-06</t>
  </si>
  <si>
    <t xml:space="preserve">Contratante cria projeto</t>
  </si>
  <si>
    <t xml:space="preserve">Logado como contratante</t>
  </si>
  <si>
    <t xml:space="preserve">Projeto criado e listado</t>
  </si>
  <si>
    <t xml:space="preserve">CT-07</t>
  </si>
  <si>
    <t xml:space="preserve">Freelancer tenta criar projeto</t>
  </si>
  <si>
    <t xml:space="preserve">Logado como freelancer</t>
  </si>
  <si>
    <t xml:space="preserve">Botão ausente e API recusa (403)</t>
  </si>
  <si>
    <t xml:space="preserve">CT-08</t>
  </si>
  <si>
    <t xml:space="preserve">Avaliar após concluir contrato</t>
  </si>
  <si>
    <t xml:space="preserve">Contrato concluído</t>
  </si>
  <si>
    <t xml:space="preserve">Avaliação registrada</t>
  </si>
  <si>
    <t xml:space="preserve">CT-09</t>
  </si>
  <si>
    <t xml:space="preserve">Avaliar contrato ainda em aberto</t>
  </si>
  <si>
    <t xml:space="preserve">Contrato não concluído</t>
  </si>
  <si>
    <t xml:space="preserve">Recusa: só avalia após concluir</t>
  </si>
  <si>
    <t xml:space="preserve">CT-10</t>
  </si>
  <si>
    <t xml:space="preserve">Nota = 5</t>
  </si>
  <si>
    <t xml:space="preserve">Aceita (limite superior válido)</t>
  </si>
  <si>
    <t xml:space="preserve">CT-11</t>
  </si>
  <si>
    <t xml:space="preserve">Nota = 6 ou 0</t>
  </si>
  <si>
    <t xml:space="preserve">Recusa: nota fora de 1 a 5</t>
  </si>
  <si>
    <t xml:space="preserve">Avaliar duas vezes o mesmo contrato</t>
  </si>
  <si>
    <t xml:space="preserve">Já avaliou uma vez</t>
  </si>
  <si>
    <t xml:space="preserve">Recusa a segunda avaliação</t>
  </si>
  <si>
    <t xml:space="preserve">Resposta da API de usuário</t>
  </si>
  <si>
    <t xml:space="preserve">Usuário existente</t>
  </si>
  <si>
    <t xml:space="preserve">Campo senha não aparece no JSON</t>
  </si>
  <si>
    <t xml:space="preserve">Terceiro tenta avaliar contrato alheio</t>
  </si>
  <si>
    <t xml:space="preserve">Usuário fora do contrato</t>
  </si>
  <si>
    <t xml:space="preserve">Recusa: não é parte do contrato</t>
  </si>
  <si>
    <t xml:space="preserve">Cálculo da reputação</t>
  </si>
  <si>
    <t xml:space="preserve">Usuário com 3 notas</t>
  </si>
  <si>
    <t xml:space="preserve">Perfil mostra a média correta</t>
  </si>
  <si>
    <t xml:space="preserve">pagamento_destaque ON</t>
  </si>
  <si>
    <t xml:space="preserve">Flag ligada</t>
  </si>
  <si>
    <t xml:space="preserve">Botão 'Destacar' cobra a taxa</t>
  </si>
  <si>
    <t xml:space="preserve">pagamento_destaque OFF</t>
  </si>
  <si>
    <t xml:space="preserve">Flag desligada</t>
  </si>
  <si>
    <t xml:space="preserve">Publicação normal e grátis</t>
  </si>
  <si>
    <t xml:space="preserve">login_google ON</t>
  </si>
  <si>
    <t xml:space="preserve">Login com Google funciona</t>
  </si>
  <si>
    <t xml:space="preserve">login_google OFF</t>
  </si>
  <si>
    <t xml:space="preserve">Apenas login por e-mail/senha</t>
  </si>
  <si>
    <t xml:space="preserve">avaliacao_anonima ON</t>
  </si>
  <si>
    <t xml:space="preserve">Autor da avaliação fica oculto</t>
  </si>
  <si>
    <t xml:space="preserve">avaliacao_anonima OFF</t>
  </si>
  <si>
    <t xml:space="preserve">Autor da avaliação aparece</t>
  </si>
  <si>
    <t xml:space="preserve">novo_dashboard ON</t>
  </si>
  <si>
    <t xml:space="preserve">Novo painel é exibido</t>
  </si>
  <si>
    <t xml:space="preserve">Baixa</t>
  </si>
  <si>
    <t xml:space="preserve">novo_dashboard OFF</t>
  </si>
  <si>
    <t xml:space="preserve">Painel antigo é exibido</t>
  </si>
  <si>
    <t xml:space="preserve">notificacao_email ON</t>
  </si>
  <si>
    <t xml:space="preserve">E-mail de proposta é enviado</t>
  </si>
  <si>
    <t xml:space="preserve">notificacao_email OFF</t>
  </si>
  <si>
    <t xml:space="preserve">modo_manutencao ON</t>
  </si>
  <si>
    <t xml:space="preserve">Página de manutenção para todos</t>
  </si>
  <si>
    <t xml:space="preserve">modo_manutencao OFF</t>
  </si>
  <si>
    <t xml:space="preserve">Cenários BDD (Gherkin) — derivados dos casos de teste</t>
  </si>
  <si>
    <t xml:space="preserve">Cada caso de teste vira um cenário POSITIVO (caminho feliz) ou NEGATIVO (erro/validação), escrito em Dado / Quando / Então.</t>
  </si>
  <si>
    <t xml:space="preserve">BDD = Behavior Driven Development. O Gherkin (Dado/Quando/Então) descreve o comportamento em linguagem que cliente, dev e QA entendem — e liga direto à automação (ex.: Cucumber, SpecFlow, behave).</t>
  </si>
  <si>
    <t xml:space="preserve">Cenário</t>
  </si>
  <si>
    <t xml:space="preserve">CT origem</t>
  </si>
  <si>
    <t xml:space="preserve">Funcionalidade</t>
  </si>
  <si>
    <t xml:space="preserve">Tipo</t>
  </si>
  <si>
    <t xml:space="preserve">Cenário em BDD (Gherkin: Dado / Quando / Então)</t>
  </si>
  <si>
    <t xml:space="preserve">CEN-01</t>
  </si>
  <si>
    <t xml:space="preserve">Cadastro</t>
  </si>
  <si>
    <t xml:space="preserve">Positivo</t>
  </si>
  <si>
    <t xml:space="preserve">Cenário: Cadastro com e-mail novo
Dado que informo nome, um e-mail ainda não cadastrado, papel e senha válidos
Quando envio o cadastro
Então a conta é criada com sucesso
E a senha não é retornada na resposta</t>
  </si>
  <si>
    <t xml:space="preserve">CEN-02</t>
  </si>
  <si>
    <t xml:space="preserve">Negativo</t>
  </si>
  <si>
    <t xml:space="preserve">Cenário: Cadastro com e-mail já usado
Dado que já existe uma conta com o e-mail 'ana@x.com'
Quando tento me cadastrar com o mesmo e-mail
Então recebo a mensagem 'e-mail já cadastrado'
E nenhuma conta nova é criada</t>
  </si>
  <si>
    <t xml:space="preserve">CEN-03</t>
  </si>
  <si>
    <t xml:space="preserve">Cenário: Senha no limite mínimo (4 caracteres)
Dado que preencho o cadastro com a senha '1234'
Quando envio o cadastro
Então a conta é criada (4 é o mínimo aceito)</t>
  </si>
  <si>
    <t xml:space="preserve">CEN-04</t>
  </si>
  <si>
    <t xml:space="preserve">Cenário: Senha curta demais
Dado que preencho o cadastro com a senha '123'
Quando envio o cadastro
Então recebo 'senha deve ter ao menos 4 caracteres'
E nenhuma conta é criada</t>
  </si>
  <si>
    <t xml:space="preserve">CEN-05</t>
  </si>
  <si>
    <t xml:space="preserve">Cenário: Papel inválido
Dado que preencho o cadastro com o papel 'admin'
Quando envio o cadastro
Então recebo 'papel inválido'</t>
  </si>
  <si>
    <t xml:space="preserve">CEN-06</t>
  </si>
  <si>
    <t xml:space="preserve">Login</t>
  </si>
  <si>
    <t xml:space="preserve">Cenário: Login com credenciais corretas
Dado que possuo uma conta com e-mail e senha válidos
Quando faço login com essas credenciais
Então entro no sistema
E a senha não é retornada</t>
  </si>
  <si>
    <t xml:space="preserve">CEN-07</t>
  </si>
  <si>
    <t xml:space="preserve">Cenário: Login com senha errada
Dado que possuo uma conta
Quando faço login com a senha errada
Então recebo erro de autenticação (401)
E não entro no sistema</t>
  </si>
  <si>
    <t xml:space="preserve">CEN-08</t>
  </si>
  <si>
    <t xml:space="preserve">Projetos</t>
  </si>
  <si>
    <t xml:space="preserve">Cenário: Contratante cria projeto
Dado que estou logado como contratante
Quando crio um projeto com título válido
Então o projeto é criado e aparece na listagem</t>
  </si>
  <si>
    <t xml:space="preserve">CEN-09</t>
  </si>
  <si>
    <t xml:space="preserve">Cenário: Freelancer tenta criar projeto
Dado que estou logado como freelancer
Quando tento criar um projeto
Então a ação é negada (403)
E o botão 'Novo projeto' não é exibido para mim</t>
  </si>
  <si>
    <t xml:space="preserve">CEN-10</t>
  </si>
  <si>
    <t xml:space="preserve">Avaliação 360°</t>
  </si>
  <si>
    <t xml:space="preserve">Cenário: Avaliar após a conclusão
Dado um contrato concluído entre contratante e freelancer
Quando envio uma avaliação com nota entre 1 e 5
Então a avaliação é registrada</t>
  </si>
  <si>
    <t xml:space="preserve">CEN-11</t>
  </si>
  <si>
    <t xml:space="preserve">Cenário: Avaliar contrato ainda aberto
Dado um contrato que ainda NÃO foi concluído
Quando tento enviar uma avaliação
Então recebo 'só é possível avaliar contrato concluído'</t>
  </si>
  <si>
    <t xml:space="preserve">CEN-12</t>
  </si>
  <si>
    <t xml:space="preserve">Cenário: Nota no limite superior
Dado um contrato concluído
Quando avalio com nota 5
Então a avaliação é aceita</t>
  </si>
  <si>
    <t xml:space="preserve">CEN-13</t>
  </si>
  <si>
    <t xml:space="preserve">Cenário: Nota fora do intervalo
Dado um contrato concluído
Quando avalio com nota 6 (ou 0)
Então recebo 'nota deve ser inteiro de 1 a 5'</t>
  </si>
  <si>
    <t xml:space="preserve">CEN-14</t>
  </si>
  <si>
    <t xml:space="preserve">Cenário: Avaliar duas vezes o mesmo contrato
Dado que já avaliei este contrato uma vez
Quando tento avaliar novamente
Então recebo 'você já avaliou este contrato'</t>
  </si>
  <si>
    <t xml:space="preserve">CEN-15</t>
  </si>
  <si>
    <t xml:space="preserve">Cenário: Terceiro tenta avaliar contrato alheio
Dado um usuário que não é parte do contrato
Quando ele tenta enviar uma avaliação
Então recebo 'avaliador e avaliado devem ser as partes do contrato'</t>
  </si>
  <si>
    <t xml:space="preserve">CEN-16</t>
  </si>
  <si>
    <t xml:space="preserve">Reputação</t>
  </si>
  <si>
    <t xml:space="preserve">Cenário: Cálculo da reputação
Dado um freelancer com as notas 5, 4 e 3
Quando abro o perfil dele
Então a reputação exibida é 4,0 (média das notas)</t>
  </si>
  <si>
    <t xml:space="preserve">CEN-17</t>
  </si>
  <si>
    <t xml:space="preserve">Segurança</t>
  </si>
  <si>
    <t xml:space="preserve">Cenário: A senha nunca é exposta
Dado um usuário existente
Quando consulto os dados do usuário na API
Então a resposta NÃO contém o campo senha</t>
  </si>
  <si>
    <t xml:space="preserve">CEN-18</t>
  </si>
  <si>
    <t xml:space="preserve">Flag pagamento_destaque</t>
  </si>
  <si>
    <t xml:space="preserve">Cenário: Destacar projeto com a flag LIGADA
Dado que a flag 'pagamento_destaque' está ligada
E sou o contratante dono de um projeto aberto
Quando clico em 'Destacar'
Então o projeto passa a exibir o selo de destaque</t>
  </si>
  <si>
    <t xml:space="preserve">CEN-19</t>
  </si>
  <si>
    <t xml:space="preserve">Cenário: Destaque indisponível com a flag DESLIGADA
Dado que a flag 'pagamento_destaque' está desligada
Quando tento destacar um projeto
Então a ação é recusada (403)
E o botão 'Destacar' não aparece</t>
  </si>
  <si>
    <t xml:space="preserve">CEN-20</t>
  </si>
  <si>
    <t xml:space="preserve">Flag login_google</t>
  </si>
  <si>
    <t xml:space="preserve">Cenário: Login com Google habilitado
Dado que a flag 'login_google' está ligada
E existe uma conta vinculada ao e-mail
Quando entro com Google usando esse e-mail
Então entro no sistema</t>
  </si>
  <si>
    <t xml:space="preserve">CEN-21</t>
  </si>
  <si>
    <t xml:space="preserve">Cenário: Login com Google desabilitado
Dado que a flag 'login_google' está desligada
Quando tento entrar com Google
Então a ação é recusada (403)
E o botão 'Entrar com Google' não aparece</t>
  </si>
  <si>
    <t xml:space="preserve">CEN-22</t>
  </si>
  <si>
    <t xml:space="preserve">Flag avaliacao_anonima</t>
  </si>
  <si>
    <t xml:space="preserve">Cenário: Avaliação anônima ligada
Dado que a flag 'avaliacao_anonima' está ligada
Quando consulto as avaliações recebidas
Então o autor aparece oculto (anônimo)
E a nota e o comentário continuam visíveis</t>
  </si>
  <si>
    <t xml:space="preserve">CEN-23</t>
  </si>
  <si>
    <t xml:space="preserve">Cenário: Avaliação anônima desligada (controle)
Dado que a flag 'avaliacao_anonima' está desligada
Quando consulto as avaliações recebidas
Então o autor da avaliação aparece normalmente</t>
  </si>
  <si>
    <t xml:space="preserve">CEN-24</t>
  </si>
  <si>
    <t xml:space="preserve">Flag notificacao_email</t>
  </si>
  <si>
    <t xml:space="preserve">Cenário: Notificação de candidatura ligada
Dado que a flag 'notificacao_email' está ligada
Quando um freelancer se candidata ao meu projeto
Então recebo uma notificação de candidatura</t>
  </si>
  <si>
    <t xml:space="preserve">CEN-25</t>
  </si>
  <si>
    <t xml:space="preserve">Cenário: Notificação desligada
Dado que a flag 'notificacao_email' está desligada
Quando um freelancer se candidata ao meu projeto
Então nenhuma notificação é gerada</t>
  </si>
  <si>
    <t xml:space="preserve">CEN-26</t>
  </si>
  <si>
    <t xml:space="preserve">Flag modo_manutencao</t>
  </si>
  <si>
    <t xml:space="preserve">Cenário: Modo de manutenção ligado
Dado que a flag 'modo_manutencao' está ligada
Quando acesso qualquer rota (exceto /flags e /health)
Então recebo a resposta de manutenção (503)</t>
  </si>
  <si>
    <t xml:space="preserve">CEN-27</t>
  </si>
  <si>
    <t xml:space="preserve">Cenário: Modo de manutenção desligado (controle)
Dado que a flag 'modo_manutencao' está desligada
Quando acesso as rotas do sistema
Então tudo funciona normalmente</t>
  </si>
  <si>
    <t xml:space="preserve">Matriz de Impacto — o que retestar quando algo muda</t>
  </si>
  <si>
    <t xml:space="preserve">Ao alterar o item da LINHA, reteste também os itens marcados na COLUNA. Base para o teste de regressão.</t>
  </si>
  <si>
    <t xml:space="preserve">Linha = item alterado  ·  Coluna = item a retestar  ·  ● = dependência  ·  célula escura = o próprio item</t>
  </si>
  <si>
    <t xml:space="preserve">Alterei ↓  /  Testar →</t>
  </si>
  <si>
    <t xml:space="preserve">Ao alterar, teste também</t>
  </si>
  <si>
    <t xml:space="preserve">RN-01 · E-mail único</t>
  </si>
  <si>
    <t xml:space="preserve">●</t>
  </si>
  <si>
    <t xml:space="preserve">FF-02, FF-05</t>
  </si>
  <si>
    <t xml:space="preserve">RN-02 · Senha mín. 4</t>
  </si>
  <si>
    <t xml:space="preserve">RN-08, FF-02</t>
  </si>
  <si>
    <t xml:space="preserve">RN-03 · Papel válido</t>
  </si>
  <si>
    <t xml:space="preserve">RN-04 · Só contratante cria projeto</t>
  </si>
  <si>
    <t xml:space="preserve">RN-03, FF-01, FF-05</t>
  </si>
  <si>
    <t xml:space="preserve">RN-05 · Avaliar só concluído</t>
  </si>
  <si>
    <t xml:space="preserve">RN-06, RN-07, RN-09, RN-10, FF-03</t>
  </si>
  <si>
    <t xml:space="preserve">RN-06 · Nota 1–5</t>
  </si>
  <si>
    <t xml:space="preserve">RN-05, RN-10</t>
  </si>
  <si>
    <t xml:space="preserve">RN-07 · 1 avaliação por lado</t>
  </si>
  <si>
    <t xml:space="preserve">RN-05, RN-09, RN-10, FF-03</t>
  </si>
  <si>
    <t xml:space="preserve">RN-08 · API não vaza senha</t>
  </si>
  <si>
    <t xml:space="preserve">RN-02, FF-02, FF-03</t>
  </si>
  <si>
    <t xml:space="preserve">RN-09 · Partes do contrato</t>
  </si>
  <si>
    <t xml:space="preserve">RN-05, RN-07</t>
  </si>
  <si>
    <t xml:space="preserve">RN-10 · Reputação = média</t>
  </si>
  <si>
    <t xml:space="preserve">RN-06, RN-07, FF-04</t>
  </si>
  <si>
    <t xml:space="preserve">FF-01 · pagamento_destaque</t>
  </si>
  <si>
    <t xml:space="preserve">FF-02 · login_google</t>
  </si>
  <si>
    <t xml:space="preserve">RN-01, RN-02, RN-08</t>
  </si>
  <si>
    <t xml:space="preserve">FF-03 · avaliacao_anonima</t>
  </si>
  <si>
    <t xml:space="preserve">RN-05, RN-06, RN-07, RN-08</t>
  </si>
  <si>
    <t xml:space="preserve">FF-04 · novo_dashboard</t>
  </si>
  <si>
    <t xml:space="preserve">FF-05 · notificacao_email</t>
  </si>
  <si>
    <t xml:space="preserve">RN-01, RN-04</t>
  </si>
  <si>
    <t xml:space="preserve">FF-06 · modo_manutencao</t>
  </si>
  <si>
    <t xml:space="preserve">TODOS os itens (flag global bloqueia o sistema inteiro)</t>
  </si>
  <si>
    <t xml:space="preserve">Como ler: quer mexer na regra da nota (RN-06)? Reteste também RN-05 e RN-10. Vai desligar o modo_manutencao (FF-06)? Faça um smoke test geral. Uma flag global tem o maior raio de impacto — por isso é a mais arriscada.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</si>
</sst>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695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9"/>
      <color rgb="FFEF6C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4401A"/>
        <bgColor rgb="FF333333"/>
      </patternFill>
    </fill>
    <fill>
      <patternFill patternType="solid">
        <fgColor rgb="FFF1F8E9"/>
        <bgColor rgb="FFFFFFFF"/>
      </patternFill>
    </fill>
    <fill>
      <patternFill patternType="solid">
        <fgColor rgb="FF2E7D32"/>
        <bgColor rgb="FF55695C"/>
      </patternFill>
    </fill>
    <fill>
      <patternFill patternType="solid">
        <fgColor rgb="FFFFFFFF"/>
        <bgColor rgb="FFF1F8E9"/>
      </patternFill>
    </fill>
    <fill>
      <patternFill patternType="solid">
        <fgColor rgb="FFC8E6C9"/>
        <bgColor rgb="FFD7E8C8"/>
      </patternFill>
    </fill>
    <fill>
      <patternFill patternType="solid">
        <fgColor rgb="FFFFE0B2"/>
        <bgColor rgb="FFFFF3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E8C8"/>
      </left>
      <right style="thin">
        <color rgb="FFD7E8C8"/>
      </right>
      <top style="thin">
        <color rgb="FFD7E8C8"/>
      </top>
      <bottom style="thin">
        <color rgb="FFD7E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FFF3C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4"/>
      <rgbColor rgb="FFF1F8E9"/>
      <rgbColor rgb="FF660066"/>
      <rgbColor rgb="FFFF8080"/>
      <rgbColor rgb="FF0066CC"/>
      <rgbColor rgb="FFFFC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8E6C9"/>
      <rgbColor rgb="FFD7E8C8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EF6C00"/>
      <rgbColor rgb="FF55695C"/>
      <rgbColor rgb="FF969696"/>
      <rgbColor rgb="FF003366"/>
      <rgbColor rgb="FF2E7D32"/>
      <rgbColor rgb="FF14401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25.5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4" customFormat="false" ht="45.75" hidden="false" customHeight="true" outlineLevel="0" collapsed="false">
      <c r="A4" s="3" t="s">
        <v>2</v>
      </c>
      <c r="B4" s="4" t="s">
        <v>3</v>
      </c>
    </row>
    <row r="5" customFormat="false" ht="45.75" hidden="false" customHeight="true" outlineLevel="0" collapsed="false">
      <c r="A5" s="3" t="s">
        <v>4</v>
      </c>
      <c r="B5" s="4" t="s">
        <v>5</v>
      </c>
    </row>
    <row r="6" customFormat="false" ht="45.75" hidden="false" customHeight="true" outlineLevel="0" collapsed="false">
      <c r="A6" s="3" t="s">
        <v>6</v>
      </c>
      <c r="B6" s="4" t="s">
        <v>7</v>
      </c>
    </row>
    <row r="7" customFormat="false" ht="45.75" hidden="false" customHeight="true" outlineLevel="0" collapsed="false">
      <c r="A7" s="3" t="s">
        <v>8</v>
      </c>
      <c r="B7" s="4" t="s">
        <v>9</v>
      </c>
    </row>
    <row r="8" customFormat="false" ht="45.75" hidden="false" customHeight="true" outlineLevel="0" collapsed="false">
      <c r="A8" s="3" t="s">
        <v>10</v>
      </c>
      <c r="B8" s="4" t="s">
        <v>11</v>
      </c>
    </row>
    <row r="9" customFormat="false" ht="45.75" hidden="false" customHeight="true" outlineLevel="0" collapsed="false">
      <c r="A9" s="3" t="s">
        <v>12</v>
      </c>
      <c r="B9" s="4" t="s">
        <v>13</v>
      </c>
    </row>
    <row r="10" customFormat="false" ht="45.75" hidden="false" customHeight="true" outlineLevel="0" collapsed="false">
      <c r="A10" s="3" t="s">
        <v>14</v>
      </c>
      <c r="B10" s="4" t="s">
        <v>15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0"/>
  </cols>
  <sheetData>
    <row r="1" customFormat="false" ht="25.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17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</row>
    <row r="5" customFormat="false" ht="30" hidden="false" customHeight="true" outlineLevel="0" collapsed="false">
      <c r="A5" s="6" t="s">
        <v>26</v>
      </c>
      <c r="B5" s="4" t="s">
        <v>27</v>
      </c>
      <c r="C5" s="6" t="s">
        <v>28</v>
      </c>
      <c r="D5" s="4" t="s">
        <v>29</v>
      </c>
      <c r="E5" s="4" t="s">
        <v>30</v>
      </c>
      <c r="F5" s="6" t="s">
        <v>31</v>
      </c>
      <c r="G5" s="6" t="s">
        <v>32</v>
      </c>
      <c r="H5" s="6" t="s">
        <v>33</v>
      </c>
    </row>
    <row r="6" customFormat="false" ht="30" hidden="false" customHeight="true" outlineLevel="0" collapsed="false">
      <c r="A6" s="6" t="s">
        <v>34</v>
      </c>
      <c r="B6" s="4" t="s">
        <v>35</v>
      </c>
      <c r="C6" s="6" t="s">
        <v>28</v>
      </c>
      <c r="D6" s="4" t="s">
        <v>36</v>
      </c>
      <c r="E6" s="4" t="s">
        <v>37</v>
      </c>
      <c r="F6" s="6" t="s">
        <v>31</v>
      </c>
      <c r="G6" s="6" t="s">
        <v>32</v>
      </c>
      <c r="H6" s="6" t="s">
        <v>33</v>
      </c>
    </row>
    <row r="7" customFormat="false" ht="30" hidden="false" customHeight="true" outlineLevel="0" collapsed="false">
      <c r="A7" s="6" t="s">
        <v>38</v>
      </c>
      <c r="B7" s="4" t="s">
        <v>39</v>
      </c>
      <c r="C7" s="6" t="s">
        <v>28</v>
      </c>
      <c r="D7" s="4" t="s">
        <v>40</v>
      </c>
      <c r="E7" s="4" t="s">
        <v>30</v>
      </c>
      <c r="F7" s="6" t="s">
        <v>41</v>
      </c>
      <c r="G7" s="6" t="s">
        <v>32</v>
      </c>
      <c r="H7" s="6" t="s">
        <v>33</v>
      </c>
    </row>
    <row r="8" customFormat="false" ht="30" hidden="false" customHeight="true" outlineLevel="0" collapsed="false">
      <c r="A8" s="6" t="s">
        <v>42</v>
      </c>
      <c r="B8" s="4" t="s">
        <v>43</v>
      </c>
      <c r="C8" s="6" t="s">
        <v>44</v>
      </c>
      <c r="D8" s="4" t="s">
        <v>45</v>
      </c>
      <c r="E8" s="4" t="s">
        <v>46</v>
      </c>
      <c r="F8" s="6" t="s">
        <v>31</v>
      </c>
      <c r="G8" s="6" t="s">
        <v>47</v>
      </c>
      <c r="H8" s="6" t="s">
        <v>48</v>
      </c>
    </row>
    <row r="9" customFormat="false" ht="30" hidden="false" customHeight="true" outlineLevel="0" collapsed="false">
      <c r="A9" s="6" t="s">
        <v>49</v>
      </c>
      <c r="B9" s="4" t="s">
        <v>50</v>
      </c>
      <c r="C9" s="6" t="s">
        <v>51</v>
      </c>
      <c r="D9" s="4" t="s">
        <v>52</v>
      </c>
      <c r="E9" s="4" t="s">
        <v>53</v>
      </c>
      <c r="F9" s="6" t="s">
        <v>31</v>
      </c>
      <c r="G9" s="6" t="s">
        <v>32</v>
      </c>
      <c r="H9" s="6" t="s">
        <v>33</v>
      </c>
    </row>
    <row r="10" customFormat="false" ht="30" hidden="false" customHeight="true" outlineLevel="0" collapsed="false">
      <c r="A10" s="6" t="s">
        <v>54</v>
      </c>
      <c r="B10" s="4" t="s">
        <v>55</v>
      </c>
      <c r="C10" s="6" t="s">
        <v>51</v>
      </c>
      <c r="D10" s="4" t="s">
        <v>56</v>
      </c>
      <c r="E10" s="4" t="s">
        <v>37</v>
      </c>
      <c r="F10" s="6" t="s">
        <v>31</v>
      </c>
      <c r="G10" s="6" t="s">
        <v>47</v>
      </c>
      <c r="H10" s="6" t="s">
        <v>57</v>
      </c>
    </row>
    <row r="11" customFormat="false" ht="30" hidden="false" customHeight="true" outlineLevel="0" collapsed="false">
      <c r="A11" s="6" t="s">
        <v>58</v>
      </c>
      <c r="B11" s="4" t="s">
        <v>59</v>
      </c>
      <c r="C11" s="6" t="s">
        <v>51</v>
      </c>
      <c r="D11" s="4" t="s">
        <v>60</v>
      </c>
      <c r="E11" s="4" t="s">
        <v>61</v>
      </c>
      <c r="F11" s="6" t="s">
        <v>41</v>
      </c>
      <c r="G11" s="6" t="s">
        <v>32</v>
      </c>
      <c r="H11" s="6" t="s">
        <v>33</v>
      </c>
    </row>
    <row r="12" customFormat="false" ht="30" hidden="false" customHeight="true" outlineLevel="0" collapsed="false">
      <c r="A12" s="6" t="s">
        <v>62</v>
      </c>
      <c r="B12" s="4" t="s">
        <v>63</v>
      </c>
      <c r="C12" s="6" t="s">
        <v>64</v>
      </c>
      <c r="D12" s="4" t="s">
        <v>65</v>
      </c>
      <c r="E12" s="4" t="s">
        <v>66</v>
      </c>
      <c r="F12" s="6" t="s">
        <v>31</v>
      </c>
      <c r="G12" s="6" t="s">
        <v>32</v>
      </c>
      <c r="H12" s="6" t="s">
        <v>33</v>
      </c>
    </row>
    <row r="13" customFormat="false" ht="30" hidden="false" customHeight="true" outlineLevel="0" collapsed="false">
      <c r="A13" s="6" t="s">
        <v>67</v>
      </c>
      <c r="B13" s="4" t="s">
        <v>68</v>
      </c>
      <c r="C13" s="6" t="s">
        <v>51</v>
      </c>
      <c r="D13" s="4" t="s">
        <v>69</v>
      </c>
      <c r="E13" s="4" t="s">
        <v>70</v>
      </c>
      <c r="F13" s="6" t="s">
        <v>31</v>
      </c>
      <c r="G13" s="6" t="s">
        <v>71</v>
      </c>
      <c r="H13" s="6" t="s">
        <v>33</v>
      </c>
    </row>
    <row r="14" customFormat="false" ht="30" hidden="false" customHeight="true" outlineLevel="0" collapsed="false">
      <c r="A14" s="6" t="s">
        <v>72</v>
      </c>
      <c r="B14" s="4" t="s">
        <v>73</v>
      </c>
      <c r="C14" s="6" t="s">
        <v>74</v>
      </c>
      <c r="D14" s="4" t="s">
        <v>75</v>
      </c>
      <c r="E14" s="4" t="s">
        <v>76</v>
      </c>
      <c r="F14" s="6" t="s">
        <v>41</v>
      </c>
      <c r="G14" s="6" t="s">
        <v>32</v>
      </c>
      <c r="H14" s="6" t="s">
        <v>33</v>
      </c>
    </row>
    <row r="16" customFormat="false" ht="15" hidden="false" customHeight="false" outlineLevel="0" collapsed="false">
      <c r="A16" s="7" t="s">
        <v>77</v>
      </c>
    </row>
    <row r="17" customFormat="false" ht="15" hidden="false" customHeight="false" outlineLevel="0" collapsed="false">
      <c r="A17" s="8" t="s">
        <v>78</v>
      </c>
      <c r="B17" s="9" t="n">
        <f aca="false">COUNTA(A5:A14)</f>
        <v>10</v>
      </c>
    </row>
    <row r="18" customFormat="false" ht="15" hidden="false" customHeight="false" outlineLevel="0" collapsed="false">
      <c r="A18" s="8" t="s">
        <v>32</v>
      </c>
      <c r="B18" s="9" t="n">
        <f aca="false">COUNTIF(G5:G14,"Aprovado")</f>
        <v>7</v>
      </c>
    </row>
    <row r="19" customFormat="false" ht="15" hidden="false" customHeight="false" outlineLevel="0" collapsed="false">
      <c r="A19" s="8" t="s">
        <v>47</v>
      </c>
      <c r="B19" s="9" t="n">
        <f aca="false">COUNTIF(G5:G14,"Reprovado")</f>
        <v>2</v>
      </c>
    </row>
    <row r="20" customFormat="false" ht="15" hidden="false" customHeight="false" outlineLevel="0" collapsed="false">
      <c r="A20" s="8" t="s">
        <v>79</v>
      </c>
      <c r="B20" s="9" t="n">
        <f aca="false">COUNTIF(G5:G14,"Em teste")</f>
        <v>0</v>
      </c>
    </row>
    <row r="21" customFormat="false" ht="15" hidden="false" customHeight="false" outlineLevel="0" collapsed="false">
      <c r="A21" s="8" t="s">
        <v>71</v>
      </c>
      <c r="B21" s="9" t="n">
        <f aca="false">COUNTIF(G5:G14,"Não executado")</f>
        <v>1</v>
      </c>
    </row>
    <row r="22" customFormat="false" ht="15" hidden="false" customHeight="false" outlineLevel="0" collapsed="false">
      <c r="A22" s="8" t="s">
        <v>80</v>
      </c>
      <c r="B22" s="10" t="n">
        <f aca="false">1-COUNTIF(G5:G14,"Não executado")/COUNTA(A5:A14)</f>
        <v>0.9</v>
      </c>
    </row>
  </sheetData>
  <mergeCells count="2">
    <mergeCell ref="A1:H1"/>
    <mergeCell ref="A2:H2"/>
  </mergeCells>
  <conditionalFormatting sqref="G5:G14">
    <cfRule type="cellIs" priority="2" operator="equal" aboveAverage="0" equalAverage="0" bottom="0" percent="0" rank="0" text="" dxfId="0">
      <formula>"Aprovado"</formula>
    </cfRule>
    <cfRule type="cellIs" priority="3" operator="equal" aboveAverage="0" equalAverage="0" bottom="0" percent="0" rank="0" text="" dxfId="1">
      <formula>"Reprovado"</formula>
    </cfRule>
    <cfRule type="cellIs" priority="4" operator="equal" aboveAverage="0" equalAverage="0" bottom="0" percent="0" rank="0" text="" dxfId="1">
      <formula>"Bloqueado"</formula>
    </cfRule>
    <cfRule type="cellIs" priority="5" operator="equal" aboveAverage="0" equalAverage="0" bottom="0" percent="0" rank="0" text="" dxfId="2">
      <formula>"Em teste"</formula>
    </cfRule>
    <cfRule type="cellIs" priority="6" operator="equal" aboveAverage="0" equalAverage="0" bottom="0" percent="0" rank="0" text="" dxfId="2">
      <formula>"Não executado"</formula>
    </cfRule>
  </conditionalFormatting>
  <dataValidations count="1">
    <dataValidation allowBlank="true" errorStyle="stop" operator="between" showDropDown="false" showErrorMessage="false" showInputMessage="false" sqref="G5:G14" type="list">
      <formula1>"Aprovado,Reprovado,Em teste,Não executado,Bloqueado"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26"/>
    <col collapsed="false" customWidth="true" hidden="false" outlineLevel="0" max="8" min="8" style="0" width="13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20"/>
  </cols>
  <sheetData>
    <row r="1" customFormat="false" ht="25.5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82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5" t="s">
        <v>83</v>
      </c>
      <c r="B4" s="5" t="s">
        <v>84</v>
      </c>
      <c r="C4" s="5" t="s">
        <v>85</v>
      </c>
      <c r="D4" s="5" t="s">
        <v>86</v>
      </c>
      <c r="E4" s="5" t="s">
        <v>87</v>
      </c>
      <c r="F4" s="5" t="s">
        <v>88</v>
      </c>
      <c r="G4" s="5" t="s">
        <v>89</v>
      </c>
      <c r="H4" s="5" t="s">
        <v>90</v>
      </c>
      <c r="I4" s="5" t="s">
        <v>91</v>
      </c>
      <c r="J4" s="5" t="s">
        <v>24</v>
      </c>
      <c r="K4" s="5" t="s">
        <v>92</v>
      </c>
    </row>
    <row r="5" customFormat="false" ht="39.75" hidden="false" customHeight="true" outlineLevel="0" collapsed="false">
      <c r="A5" s="6" t="s">
        <v>93</v>
      </c>
      <c r="B5" s="6" t="s">
        <v>94</v>
      </c>
      <c r="C5" s="4" t="s">
        <v>95</v>
      </c>
      <c r="D5" s="6" t="s">
        <v>96</v>
      </c>
      <c r="E5" s="6" t="s">
        <v>97</v>
      </c>
      <c r="F5" s="6" t="s">
        <v>98</v>
      </c>
      <c r="G5" s="4" t="s">
        <v>99</v>
      </c>
      <c r="H5" s="6" t="s">
        <v>100</v>
      </c>
      <c r="I5" s="4" t="s">
        <v>101</v>
      </c>
      <c r="J5" s="6" t="s">
        <v>79</v>
      </c>
      <c r="K5" s="4" t="s">
        <v>33</v>
      </c>
    </row>
    <row r="6" customFormat="false" ht="39.75" hidden="false" customHeight="true" outlineLevel="0" collapsed="false">
      <c r="A6" s="6" t="s">
        <v>102</v>
      </c>
      <c r="B6" s="6" t="s">
        <v>103</v>
      </c>
      <c r="C6" s="4" t="s">
        <v>104</v>
      </c>
      <c r="D6" s="6" t="s">
        <v>105</v>
      </c>
      <c r="E6" s="6" t="s">
        <v>106</v>
      </c>
      <c r="F6" s="6" t="s">
        <v>107</v>
      </c>
      <c r="G6" s="4" t="s">
        <v>108</v>
      </c>
      <c r="H6" s="6" t="s">
        <v>109</v>
      </c>
      <c r="I6" s="4" t="s">
        <v>110</v>
      </c>
      <c r="J6" s="6" t="s">
        <v>32</v>
      </c>
      <c r="K6" s="4" t="s">
        <v>33</v>
      </c>
    </row>
    <row r="7" customFormat="false" ht="39.75" hidden="false" customHeight="true" outlineLevel="0" collapsed="false">
      <c r="A7" s="6" t="s">
        <v>111</v>
      </c>
      <c r="B7" s="6" t="s">
        <v>112</v>
      </c>
      <c r="C7" s="4" t="s">
        <v>113</v>
      </c>
      <c r="D7" s="6" t="s">
        <v>114</v>
      </c>
      <c r="E7" s="6" t="s">
        <v>115</v>
      </c>
      <c r="F7" s="6" t="s">
        <v>116</v>
      </c>
      <c r="G7" s="4" t="s">
        <v>117</v>
      </c>
      <c r="H7" s="6" t="s">
        <v>118</v>
      </c>
      <c r="I7" s="4" t="s">
        <v>119</v>
      </c>
      <c r="J7" s="6" t="s">
        <v>47</v>
      </c>
      <c r="K7" s="4" t="s">
        <v>120</v>
      </c>
    </row>
    <row r="8" customFormat="false" ht="39.75" hidden="false" customHeight="true" outlineLevel="0" collapsed="false">
      <c r="A8" s="6" t="s">
        <v>121</v>
      </c>
      <c r="B8" s="6" t="s">
        <v>122</v>
      </c>
      <c r="C8" s="4" t="s">
        <v>123</v>
      </c>
      <c r="D8" s="6" t="s">
        <v>124</v>
      </c>
      <c r="E8" s="6" t="s">
        <v>125</v>
      </c>
      <c r="F8" s="6" t="s">
        <v>126</v>
      </c>
      <c r="G8" s="4" t="s">
        <v>127</v>
      </c>
      <c r="H8" s="6" t="s">
        <v>128</v>
      </c>
      <c r="I8" s="4" t="s">
        <v>129</v>
      </c>
      <c r="J8" s="6" t="s">
        <v>79</v>
      </c>
      <c r="K8" s="4" t="s">
        <v>33</v>
      </c>
    </row>
    <row r="9" customFormat="false" ht="39.75" hidden="false" customHeight="true" outlineLevel="0" collapsed="false">
      <c r="A9" s="6" t="s">
        <v>130</v>
      </c>
      <c r="B9" s="6" t="s">
        <v>131</v>
      </c>
      <c r="C9" s="4" t="s">
        <v>132</v>
      </c>
      <c r="D9" s="6" t="s">
        <v>133</v>
      </c>
      <c r="E9" s="6" t="s">
        <v>134</v>
      </c>
      <c r="F9" s="6" t="s">
        <v>135</v>
      </c>
      <c r="G9" s="4" t="s">
        <v>136</v>
      </c>
      <c r="H9" s="6" t="s">
        <v>137</v>
      </c>
      <c r="I9" s="4" t="s">
        <v>138</v>
      </c>
      <c r="J9" s="6" t="s">
        <v>32</v>
      </c>
      <c r="K9" s="4" t="s">
        <v>33</v>
      </c>
    </row>
    <row r="10" customFormat="false" ht="39.75" hidden="false" customHeight="true" outlineLevel="0" collapsed="false">
      <c r="A10" s="6" t="s">
        <v>139</v>
      </c>
      <c r="B10" s="6" t="s">
        <v>140</v>
      </c>
      <c r="C10" s="4" t="s">
        <v>141</v>
      </c>
      <c r="D10" s="6" t="s">
        <v>114</v>
      </c>
      <c r="E10" s="6" t="s">
        <v>142</v>
      </c>
      <c r="F10" s="6" t="s">
        <v>143</v>
      </c>
      <c r="G10" s="4" t="s">
        <v>144</v>
      </c>
      <c r="H10" s="6" t="s">
        <v>145</v>
      </c>
      <c r="I10" s="4" t="s">
        <v>146</v>
      </c>
      <c r="J10" s="6" t="s">
        <v>32</v>
      </c>
      <c r="K10" s="4" t="s">
        <v>33</v>
      </c>
    </row>
    <row r="12" customFormat="false" ht="15" hidden="false" customHeight="false" outlineLevel="0" collapsed="false">
      <c r="A12" s="7" t="s">
        <v>77</v>
      </c>
    </row>
    <row r="13" customFormat="false" ht="15" hidden="false" customHeight="false" outlineLevel="0" collapsed="false">
      <c r="A13" s="8" t="s">
        <v>147</v>
      </c>
      <c r="B13" s="9" t="n">
        <f aca="false">COUNTA(A5:A10)</f>
        <v>6</v>
      </c>
    </row>
    <row r="14" customFormat="false" ht="15" hidden="false" customHeight="false" outlineLevel="0" collapsed="false">
      <c r="A14" s="8" t="s">
        <v>32</v>
      </c>
      <c r="B14" s="9" t="n">
        <f aca="false">COUNTIF(J5:J10,"Aprovado")</f>
        <v>3</v>
      </c>
    </row>
    <row r="15" customFormat="false" ht="15" hidden="false" customHeight="false" outlineLevel="0" collapsed="false">
      <c r="A15" s="8" t="s">
        <v>47</v>
      </c>
      <c r="B15" s="9" t="n">
        <f aca="false">COUNTIF(J5:J10,"Reprovado")</f>
        <v>1</v>
      </c>
    </row>
    <row r="16" customFormat="false" ht="15" hidden="false" customHeight="false" outlineLevel="0" collapsed="false">
      <c r="A16" s="8" t="s">
        <v>79</v>
      </c>
      <c r="B16" s="9" t="n">
        <f aca="false">COUNTIF(J5:J10,"Em teste")</f>
        <v>2</v>
      </c>
    </row>
    <row r="17" customFormat="false" ht="15" hidden="false" customHeight="false" outlineLevel="0" collapsed="false">
      <c r="A17" s="8" t="s">
        <v>148</v>
      </c>
      <c r="B17" s="9" t="n">
        <f aca="false">COUNTA(F5:F10)+COUNTA(H5:H10)</f>
        <v>12</v>
      </c>
    </row>
  </sheetData>
  <mergeCells count="2">
    <mergeCell ref="A1:K1"/>
    <mergeCell ref="A2:K2"/>
  </mergeCells>
  <conditionalFormatting sqref="J5:J10">
    <cfRule type="cellIs" priority="2" operator="equal" aboveAverage="0" equalAverage="0" bottom="0" percent="0" rank="0" text="" dxfId="0">
      <formula>"Aprovado"</formula>
    </cfRule>
    <cfRule type="cellIs" priority="3" operator="equal" aboveAverage="0" equalAverage="0" bottom="0" percent="0" rank="0" text="" dxfId="1">
      <formula>"Reprovado"</formula>
    </cfRule>
    <cfRule type="cellIs" priority="4" operator="equal" aboveAverage="0" equalAverage="0" bottom="0" percent="0" rank="0" text="" dxfId="1">
      <formula>"Bloqueado"</formula>
    </cfRule>
    <cfRule type="cellIs" priority="5" operator="equal" aboveAverage="0" equalAverage="0" bottom="0" percent="0" rank="0" text="" dxfId="2">
      <formula>"Em teste"</formula>
    </cfRule>
    <cfRule type="cellIs" priority="6" operator="equal" aboveAverage="0" equalAverage="0" bottom="0" percent="0" rank="0" text="" dxfId="2">
      <formula>"Não executado"</formula>
    </cfRule>
  </conditionalFormatting>
  <dataValidations count="1">
    <dataValidation allowBlank="true" errorStyle="stop" operator="between" showDropDown="false" showErrorMessage="false" showInputMessage="false" sqref="J5:J10" type="list">
      <formula1>"Aprovado,Reprovado,Em teste,Não executado,Bloqueado"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34"/>
    <col collapsed="false" customWidth="true" hidden="false" outlineLevel="0" max="4" min="4" style="0" width="42"/>
    <col collapsed="false" customWidth="true" hidden="false" outlineLevel="0" max="5" min="5" style="0" width="11"/>
  </cols>
  <sheetData>
    <row r="1" customFormat="false" ht="25.5" hidden="false" customHeight="true" outlineLevel="0" collapsed="false">
      <c r="A1" s="1" t="s">
        <v>149</v>
      </c>
      <c r="B1" s="1"/>
      <c r="C1" s="1"/>
      <c r="D1" s="1"/>
      <c r="E1" s="1"/>
    </row>
    <row r="2" customFormat="false" ht="18" hidden="false" customHeight="true" outlineLevel="0" collapsed="false">
      <c r="A2" s="2" t="s">
        <v>150</v>
      </c>
      <c r="B2" s="2"/>
      <c r="C2" s="2"/>
      <c r="D2" s="2"/>
      <c r="E2" s="2"/>
    </row>
    <row r="4" customFormat="false" ht="15" hidden="false" customHeight="false" outlineLevel="0" collapsed="false">
      <c r="A4" s="5" t="s">
        <v>151</v>
      </c>
      <c r="B4" s="5" t="s">
        <v>152</v>
      </c>
      <c r="C4" s="5" t="s">
        <v>153</v>
      </c>
      <c r="D4" s="5" t="s">
        <v>154</v>
      </c>
      <c r="E4" s="5" t="s">
        <v>23</v>
      </c>
    </row>
    <row r="5" customFormat="false" ht="27.75" hidden="false" customHeight="true" outlineLevel="0" collapsed="false">
      <c r="A5" s="6" t="s">
        <v>155</v>
      </c>
      <c r="B5" s="4" t="s">
        <v>156</v>
      </c>
      <c r="C5" s="4" t="s">
        <v>157</v>
      </c>
      <c r="D5" s="4" t="s">
        <v>158</v>
      </c>
      <c r="E5" s="6" t="s">
        <v>31</v>
      </c>
    </row>
    <row r="6" customFormat="false" ht="27.75" hidden="false" customHeight="true" outlineLevel="0" collapsed="false">
      <c r="A6" s="6" t="s">
        <v>159</v>
      </c>
      <c r="B6" s="4" t="s">
        <v>160</v>
      </c>
      <c r="C6" s="4" t="s">
        <v>161</v>
      </c>
      <c r="D6" s="4" t="s">
        <v>162</v>
      </c>
      <c r="E6" s="6" t="s">
        <v>31</v>
      </c>
    </row>
    <row r="7" customFormat="false" ht="27.75" hidden="false" customHeight="true" outlineLevel="0" collapsed="false">
      <c r="A7" s="6" t="s">
        <v>163</v>
      </c>
      <c r="B7" s="4" t="s">
        <v>164</v>
      </c>
      <c r="C7" s="4" t="s">
        <v>165</v>
      </c>
      <c r="D7" s="4" t="s">
        <v>166</v>
      </c>
      <c r="E7" s="6" t="s">
        <v>31</v>
      </c>
    </row>
    <row r="8" customFormat="false" ht="27.75" hidden="false" customHeight="true" outlineLevel="0" collapsed="false">
      <c r="A8" s="6" t="s">
        <v>167</v>
      </c>
      <c r="B8" s="4" t="s">
        <v>168</v>
      </c>
      <c r="C8" s="4" t="s">
        <v>165</v>
      </c>
      <c r="D8" s="4" t="s">
        <v>169</v>
      </c>
      <c r="E8" s="6" t="s">
        <v>31</v>
      </c>
    </row>
    <row r="9" customFormat="false" ht="27.75" hidden="false" customHeight="true" outlineLevel="0" collapsed="false">
      <c r="A9" s="6" t="s">
        <v>40</v>
      </c>
      <c r="B9" s="4" t="s">
        <v>170</v>
      </c>
      <c r="C9" s="4" t="s">
        <v>165</v>
      </c>
      <c r="D9" s="4" t="s">
        <v>171</v>
      </c>
      <c r="E9" s="6" t="s">
        <v>41</v>
      </c>
    </row>
    <row r="10" customFormat="false" ht="27.75" hidden="false" customHeight="true" outlineLevel="0" collapsed="false">
      <c r="A10" s="6" t="s">
        <v>172</v>
      </c>
      <c r="B10" s="4" t="s">
        <v>173</v>
      </c>
      <c r="C10" s="4" t="s">
        <v>174</v>
      </c>
      <c r="D10" s="4" t="s">
        <v>175</v>
      </c>
      <c r="E10" s="6" t="s">
        <v>31</v>
      </c>
    </row>
    <row r="11" customFormat="false" ht="27.75" hidden="false" customHeight="true" outlineLevel="0" collapsed="false">
      <c r="A11" s="6" t="s">
        <v>176</v>
      </c>
      <c r="B11" s="4" t="s">
        <v>177</v>
      </c>
      <c r="C11" s="4" t="s">
        <v>178</v>
      </c>
      <c r="D11" s="4" t="s">
        <v>179</v>
      </c>
      <c r="E11" s="6" t="s">
        <v>31</v>
      </c>
    </row>
    <row r="12" customFormat="false" ht="27.75" hidden="false" customHeight="true" outlineLevel="0" collapsed="false">
      <c r="A12" s="6" t="s">
        <v>180</v>
      </c>
      <c r="B12" s="4" t="s">
        <v>181</v>
      </c>
      <c r="C12" s="4" t="s">
        <v>182</v>
      </c>
      <c r="D12" s="4" t="s">
        <v>183</v>
      </c>
      <c r="E12" s="6" t="s">
        <v>31</v>
      </c>
    </row>
    <row r="13" customFormat="false" ht="27.75" hidden="false" customHeight="true" outlineLevel="0" collapsed="false">
      <c r="A13" s="6" t="s">
        <v>184</v>
      </c>
      <c r="B13" s="4" t="s">
        <v>185</v>
      </c>
      <c r="C13" s="4" t="s">
        <v>186</v>
      </c>
      <c r="D13" s="4" t="s">
        <v>187</v>
      </c>
      <c r="E13" s="6" t="s">
        <v>31</v>
      </c>
    </row>
    <row r="14" customFormat="false" ht="27.75" hidden="false" customHeight="true" outlineLevel="0" collapsed="false">
      <c r="A14" s="6" t="s">
        <v>188</v>
      </c>
      <c r="B14" s="4" t="s">
        <v>189</v>
      </c>
      <c r="C14" s="4" t="s">
        <v>182</v>
      </c>
      <c r="D14" s="4" t="s">
        <v>190</v>
      </c>
      <c r="E14" s="6" t="s">
        <v>31</v>
      </c>
    </row>
    <row r="15" customFormat="false" ht="27.75" hidden="false" customHeight="true" outlineLevel="0" collapsed="false">
      <c r="A15" s="6" t="s">
        <v>191</v>
      </c>
      <c r="B15" s="4" t="s">
        <v>192</v>
      </c>
      <c r="C15" s="4" t="s">
        <v>182</v>
      </c>
      <c r="D15" s="4" t="s">
        <v>193</v>
      </c>
      <c r="E15" s="6" t="s">
        <v>31</v>
      </c>
    </row>
    <row r="16" customFormat="false" ht="27.75" hidden="false" customHeight="true" outlineLevel="0" collapsed="false">
      <c r="A16" s="6" t="s">
        <v>60</v>
      </c>
      <c r="B16" s="4" t="s">
        <v>194</v>
      </c>
      <c r="C16" s="4" t="s">
        <v>195</v>
      </c>
      <c r="D16" s="4" t="s">
        <v>196</v>
      </c>
      <c r="E16" s="6" t="s">
        <v>41</v>
      </c>
    </row>
    <row r="17" customFormat="false" ht="27.75" hidden="false" customHeight="true" outlineLevel="0" collapsed="false">
      <c r="A17" s="6" t="s">
        <v>65</v>
      </c>
      <c r="B17" s="4" t="s">
        <v>197</v>
      </c>
      <c r="C17" s="4" t="s">
        <v>198</v>
      </c>
      <c r="D17" s="4" t="s">
        <v>199</v>
      </c>
      <c r="E17" s="6" t="s">
        <v>31</v>
      </c>
    </row>
    <row r="18" customFormat="false" ht="27.75" hidden="false" customHeight="true" outlineLevel="0" collapsed="false">
      <c r="A18" s="6" t="s">
        <v>69</v>
      </c>
      <c r="B18" s="4" t="s">
        <v>200</v>
      </c>
      <c r="C18" s="4" t="s">
        <v>201</v>
      </c>
      <c r="D18" s="4" t="s">
        <v>202</v>
      </c>
      <c r="E18" s="6" t="s">
        <v>31</v>
      </c>
    </row>
    <row r="19" customFormat="false" ht="27.75" hidden="false" customHeight="true" outlineLevel="0" collapsed="false">
      <c r="A19" s="6" t="s">
        <v>75</v>
      </c>
      <c r="B19" s="4" t="s">
        <v>203</v>
      </c>
      <c r="C19" s="4" t="s">
        <v>204</v>
      </c>
      <c r="D19" s="4" t="s">
        <v>205</v>
      </c>
      <c r="E19" s="6" t="s">
        <v>41</v>
      </c>
    </row>
    <row r="20" customFormat="false" ht="27.75" hidden="false" customHeight="true" outlineLevel="0" collapsed="false">
      <c r="A20" s="6" t="s">
        <v>98</v>
      </c>
      <c r="B20" s="4" t="s">
        <v>206</v>
      </c>
      <c r="C20" s="4" t="s">
        <v>207</v>
      </c>
      <c r="D20" s="4" t="s">
        <v>208</v>
      </c>
      <c r="E20" s="6" t="s">
        <v>31</v>
      </c>
    </row>
    <row r="21" customFormat="false" ht="27.75" hidden="false" customHeight="true" outlineLevel="0" collapsed="false">
      <c r="A21" s="6" t="s">
        <v>100</v>
      </c>
      <c r="B21" s="4" t="s">
        <v>209</v>
      </c>
      <c r="C21" s="4" t="s">
        <v>210</v>
      </c>
      <c r="D21" s="4" t="s">
        <v>211</v>
      </c>
      <c r="E21" s="6" t="s">
        <v>31</v>
      </c>
    </row>
    <row r="22" customFormat="false" ht="27.75" hidden="false" customHeight="true" outlineLevel="0" collapsed="false">
      <c r="A22" s="6" t="s">
        <v>107</v>
      </c>
      <c r="B22" s="4" t="s">
        <v>212</v>
      </c>
      <c r="C22" s="4" t="s">
        <v>207</v>
      </c>
      <c r="D22" s="4" t="s">
        <v>213</v>
      </c>
      <c r="E22" s="6" t="s">
        <v>41</v>
      </c>
    </row>
    <row r="23" customFormat="false" ht="27.75" hidden="false" customHeight="true" outlineLevel="0" collapsed="false">
      <c r="A23" s="6" t="s">
        <v>109</v>
      </c>
      <c r="B23" s="4" t="s">
        <v>214</v>
      </c>
      <c r="C23" s="4" t="s">
        <v>210</v>
      </c>
      <c r="D23" s="4" t="s">
        <v>215</v>
      </c>
      <c r="E23" s="6" t="s">
        <v>41</v>
      </c>
    </row>
    <row r="24" customFormat="false" ht="27.75" hidden="false" customHeight="true" outlineLevel="0" collapsed="false">
      <c r="A24" s="6" t="s">
        <v>116</v>
      </c>
      <c r="B24" s="4" t="s">
        <v>216</v>
      </c>
      <c r="C24" s="4" t="s">
        <v>207</v>
      </c>
      <c r="D24" s="4" t="s">
        <v>217</v>
      </c>
      <c r="E24" s="6" t="s">
        <v>41</v>
      </c>
    </row>
    <row r="25" customFormat="false" ht="27.75" hidden="false" customHeight="true" outlineLevel="0" collapsed="false">
      <c r="A25" s="6" t="s">
        <v>118</v>
      </c>
      <c r="B25" s="4" t="s">
        <v>218</v>
      </c>
      <c r="C25" s="4" t="s">
        <v>210</v>
      </c>
      <c r="D25" s="4" t="s">
        <v>219</v>
      </c>
      <c r="E25" s="6" t="s">
        <v>41</v>
      </c>
    </row>
    <row r="26" customFormat="false" ht="27.75" hidden="false" customHeight="true" outlineLevel="0" collapsed="false">
      <c r="A26" s="6" t="s">
        <v>126</v>
      </c>
      <c r="B26" s="4" t="s">
        <v>220</v>
      </c>
      <c r="C26" s="4" t="s">
        <v>207</v>
      </c>
      <c r="D26" s="4" t="s">
        <v>221</v>
      </c>
      <c r="E26" s="6" t="s">
        <v>222</v>
      </c>
    </row>
    <row r="27" customFormat="false" ht="27.75" hidden="false" customHeight="true" outlineLevel="0" collapsed="false">
      <c r="A27" s="6" t="s">
        <v>128</v>
      </c>
      <c r="B27" s="4" t="s">
        <v>223</v>
      </c>
      <c r="C27" s="4" t="s">
        <v>210</v>
      </c>
      <c r="D27" s="4" t="s">
        <v>224</v>
      </c>
      <c r="E27" s="6" t="s">
        <v>222</v>
      </c>
    </row>
    <row r="28" customFormat="false" ht="27.75" hidden="false" customHeight="true" outlineLevel="0" collapsed="false">
      <c r="A28" s="6" t="s">
        <v>135</v>
      </c>
      <c r="B28" s="4" t="s">
        <v>225</v>
      </c>
      <c r="C28" s="4" t="s">
        <v>207</v>
      </c>
      <c r="D28" s="4" t="s">
        <v>226</v>
      </c>
      <c r="E28" s="6" t="s">
        <v>41</v>
      </c>
    </row>
    <row r="29" customFormat="false" ht="27.75" hidden="false" customHeight="true" outlineLevel="0" collapsed="false">
      <c r="A29" s="6" t="s">
        <v>137</v>
      </c>
      <c r="B29" s="4" t="s">
        <v>227</v>
      </c>
      <c r="C29" s="4" t="s">
        <v>210</v>
      </c>
      <c r="D29" s="4" t="s">
        <v>138</v>
      </c>
      <c r="E29" s="6" t="s">
        <v>41</v>
      </c>
    </row>
    <row r="30" customFormat="false" ht="27.75" hidden="false" customHeight="true" outlineLevel="0" collapsed="false">
      <c r="A30" s="6" t="s">
        <v>143</v>
      </c>
      <c r="B30" s="4" t="s">
        <v>228</v>
      </c>
      <c r="C30" s="4" t="s">
        <v>207</v>
      </c>
      <c r="D30" s="4" t="s">
        <v>229</v>
      </c>
      <c r="E30" s="6" t="s">
        <v>31</v>
      </c>
    </row>
    <row r="31" customFormat="false" ht="27.75" hidden="false" customHeight="true" outlineLevel="0" collapsed="false">
      <c r="A31" s="6" t="s">
        <v>145</v>
      </c>
      <c r="B31" s="4" t="s">
        <v>230</v>
      </c>
      <c r="C31" s="4" t="s">
        <v>210</v>
      </c>
      <c r="D31" s="4" t="s">
        <v>146</v>
      </c>
      <c r="E31" s="6" t="s">
        <v>31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80"/>
  </cols>
  <sheetData>
    <row r="1" customFormat="false" ht="25.5" hidden="false" customHeight="true" outlineLevel="0" collapsed="false">
      <c r="A1" s="1" t="s">
        <v>231</v>
      </c>
      <c r="B1" s="1"/>
      <c r="C1" s="1"/>
      <c r="D1" s="1"/>
      <c r="E1" s="1"/>
    </row>
    <row r="2" customFormat="false" ht="18" hidden="false" customHeight="true" outlineLevel="0" collapsed="false">
      <c r="A2" s="2" t="s">
        <v>232</v>
      </c>
      <c r="B2" s="2"/>
      <c r="C2" s="2"/>
      <c r="D2" s="2"/>
      <c r="E2" s="2"/>
    </row>
    <row r="3" customFormat="false" ht="30" hidden="false" customHeight="true" outlineLevel="0" collapsed="false">
      <c r="A3" s="11" t="s">
        <v>233</v>
      </c>
      <c r="B3" s="11"/>
      <c r="C3" s="11"/>
      <c r="D3" s="11"/>
      <c r="E3" s="11"/>
    </row>
    <row r="4" customFormat="false" ht="15" hidden="false" customHeight="false" outlineLevel="0" collapsed="false">
      <c r="A4" s="5" t="s">
        <v>234</v>
      </c>
      <c r="B4" s="5" t="s">
        <v>235</v>
      </c>
      <c r="C4" s="5" t="s">
        <v>236</v>
      </c>
      <c r="D4" s="5" t="s">
        <v>237</v>
      </c>
      <c r="E4" s="5" t="s">
        <v>238</v>
      </c>
    </row>
    <row r="5" customFormat="false" ht="82.5" hidden="false" customHeight="true" outlineLevel="0" collapsed="false">
      <c r="A5" s="6" t="s">
        <v>239</v>
      </c>
      <c r="B5" s="6" t="s">
        <v>155</v>
      </c>
      <c r="C5" s="6" t="s">
        <v>240</v>
      </c>
      <c r="D5" s="6" t="s">
        <v>241</v>
      </c>
      <c r="E5" s="4" t="s">
        <v>242</v>
      </c>
    </row>
    <row r="6" customFormat="false" ht="82.5" hidden="false" customHeight="true" outlineLevel="0" collapsed="false">
      <c r="A6" s="6" t="s">
        <v>243</v>
      </c>
      <c r="B6" s="6" t="s">
        <v>159</v>
      </c>
      <c r="C6" s="6" t="s">
        <v>240</v>
      </c>
      <c r="D6" s="6" t="s">
        <v>244</v>
      </c>
      <c r="E6" s="4" t="s">
        <v>245</v>
      </c>
    </row>
    <row r="7" customFormat="false" ht="67.5" hidden="false" customHeight="true" outlineLevel="0" collapsed="false">
      <c r="A7" s="6" t="s">
        <v>246</v>
      </c>
      <c r="B7" s="6" t="s">
        <v>163</v>
      </c>
      <c r="C7" s="6" t="s">
        <v>240</v>
      </c>
      <c r="D7" s="6" t="s">
        <v>241</v>
      </c>
      <c r="E7" s="4" t="s">
        <v>247</v>
      </c>
    </row>
    <row r="8" customFormat="false" ht="82.5" hidden="false" customHeight="true" outlineLevel="0" collapsed="false">
      <c r="A8" s="6" t="s">
        <v>248</v>
      </c>
      <c r="B8" s="6" t="s">
        <v>167</v>
      </c>
      <c r="C8" s="6" t="s">
        <v>240</v>
      </c>
      <c r="D8" s="6" t="s">
        <v>244</v>
      </c>
      <c r="E8" s="4" t="s">
        <v>249</v>
      </c>
    </row>
    <row r="9" customFormat="false" ht="67.5" hidden="false" customHeight="true" outlineLevel="0" collapsed="false">
      <c r="A9" s="6" t="s">
        <v>250</v>
      </c>
      <c r="B9" s="6" t="s">
        <v>40</v>
      </c>
      <c r="C9" s="6" t="s">
        <v>240</v>
      </c>
      <c r="D9" s="6" t="s">
        <v>244</v>
      </c>
      <c r="E9" s="4" t="s">
        <v>251</v>
      </c>
    </row>
    <row r="10" customFormat="false" ht="82.5" hidden="false" customHeight="true" outlineLevel="0" collapsed="false">
      <c r="A10" s="6" t="s">
        <v>252</v>
      </c>
      <c r="B10" s="6" t="s">
        <v>33</v>
      </c>
      <c r="C10" s="6" t="s">
        <v>253</v>
      </c>
      <c r="D10" s="6" t="s">
        <v>241</v>
      </c>
      <c r="E10" s="4" t="s">
        <v>254</v>
      </c>
    </row>
    <row r="11" customFormat="false" ht="82.5" hidden="false" customHeight="true" outlineLevel="0" collapsed="false">
      <c r="A11" s="6" t="s">
        <v>255</v>
      </c>
      <c r="B11" s="6" t="s">
        <v>33</v>
      </c>
      <c r="C11" s="6" t="s">
        <v>253</v>
      </c>
      <c r="D11" s="6" t="s">
        <v>244</v>
      </c>
      <c r="E11" s="4" t="s">
        <v>256</v>
      </c>
    </row>
    <row r="12" customFormat="false" ht="67.5" hidden="false" customHeight="true" outlineLevel="0" collapsed="false">
      <c r="A12" s="6" t="s">
        <v>257</v>
      </c>
      <c r="B12" s="6" t="s">
        <v>172</v>
      </c>
      <c r="C12" s="6" t="s">
        <v>258</v>
      </c>
      <c r="D12" s="6" t="s">
        <v>241</v>
      </c>
      <c r="E12" s="4" t="s">
        <v>259</v>
      </c>
    </row>
    <row r="13" customFormat="false" ht="82.5" hidden="false" customHeight="true" outlineLevel="0" collapsed="false">
      <c r="A13" s="6" t="s">
        <v>260</v>
      </c>
      <c r="B13" s="6" t="s">
        <v>176</v>
      </c>
      <c r="C13" s="6" t="s">
        <v>258</v>
      </c>
      <c r="D13" s="6" t="s">
        <v>244</v>
      </c>
      <c r="E13" s="4" t="s">
        <v>261</v>
      </c>
    </row>
    <row r="14" customFormat="false" ht="67.5" hidden="false" customHeight="true" outlineLevel="0" collapsed="false">
      <c r="A14" s="6" t="s">
        <v>262</v>
      </c>
      <c r="B14" s="6" t="s">
        <v>180</v>
      </c>
      <c r="C14" s="6" t="s">
        <v>263</v>
      </c>
      <c r="D14" s="6" t="s">
        <v>241</v>
      </c>
      <c r="E14" s="4" t="s">
        <v>264</v>
      </c>
    </row>
    <row r="15" customFormat="false" ht="67.5" hidden="false" customHeight="true" outlineLevel="0" collapsed="false">
      <c r="A15" s="6" t="s">
        <v>265</v>
      </c>
      <c r="B15" s="6" t="s">
        <v>184</v>
      </c>
      <c r="C15" s="6" t="s">
        <v>263</v>
      </c>
      <c r="D15" s="6" t="s">
        <v>244</v>
      </c>
      <c r="E15" s="4" t="s">
        <v>266</v>
      </c>
    </row>
    <row r="16" customFormat="false" ht="67.5" hidden="false" customHeight="true" outlineLevel="0" collapsed="false">
      <c r="A16" s="6" t="s">
        <v>267</v>
      </c>
      <c r="B16" s="6" t="s">
        <v>188</v>
      </c>
      <c r="C16" s="6" t="s">
        <v>263</v>
      </c>
      <c r="D16" s="6" t="s">
        <v>241</v>
      </c>
      <c r="E16" s="4" t="s">
        <v>268</v>
      </c>
    </row>
    <row r="17" customFormat="false" ht="67.5" hidden="false" customHeight="true" outlineLevel="0" collapsed="false">
      <c r="A17" s="6" t="s">
        <v>269</v>
      </c>
      <c r="B17" s="6" t="s">
        <v>191</v>
      </c>
      <c r="C17" s="6" t="s">
        <v>263</v>
      </c>
      <c r="D17" s="6" t="s">
        <v>244</v>
      </c>
      <c r="E17" s="4" t="s">
        <v>270</v>
      </c>
    </row>
    <row r="18" customFormat="false" ht="67.5" hidden="false" customHeight="true" outlineLevel="0" collapsed="false">
      <c r="A18" s="6" t="s">
        <v>271</v>
      </c>
      <c r="B18" s="6" t="s">
        <v>60</v>
      </c>
      <c r="C18" s="6" t="s">
        <v>263</v>
      </c>
      <c r="D18" s="6" t="s">
        <v>244</v>
      </c>
      <c r="E18" s="4" t="s">
        <v>272</v>
      </c>
    </row>
    <row r="19" customFormat="false" ht="67.5" hidden="false" customHeight="true" outlineLevel="0" collapsed="false">
      <c r="A19" s="6" t="s">
        <v>273</v>
      </c>
      <c r="B19" s="6" t="s">
        <v>69</v>
      </c>
      <c r="C19" s="6" t="s">
        <v>263</v>
      </c>
      <c r="D19" s="6" t="s">
        <v>244</v>
      </c>
      <c r="E19" s="4" t="s">
        <v>274</v>
      </c>
    </row>
    <row r="20" customFormat="false" ht="67.5" hidden="false" customHeight="true" outlineLevel="0" collapsed="false">
      <c r="A20" s="6" t="s">
        <v>275</v>
      </c>
      <c r="B20" s="6" t="s">
        <v>75</v>
      </c>
      <c r="C20" s="6" t="s">
        <v>276</v>
      </c>
      <c r="D20" s="6" t="s">
        <v>241</v>
      </c>
      <c r="E20" s="4" t="s">
        <v>277</v>
      </c>
    </row>
    <row r="21" customFormat="false" ht="67.5" hidden="false" customHeight="true" outlineLevel="0" collapsed="false">
      <c r="A21" s="6" t="s">
        <v>278</v>
      </c>
      <c r="B21" s="6" t="s">
        <v>65</v>
      </c>
      <c r="C21" s="6" t="s">
        <v>279</v>
      </c>
      <c r="D21" s="6" t="s">
        <v>244</v>
      </c>
      <c r="E21" s="4" t="s">
        <v>280</v>
      </c>
    </row>
    <row r="22" customFormat="false" ht="82.5" hidden="false" customHeight="true" outlineLevel="0" collapsed="false">
      <c r="A22" s="6" t="s">
        <v>281</v>
      </c>
      <c r="B22" s="6" t="s">
        <v>98</v>
      </c>
      <c r="C22" s="6" t="s">
        <v>282</v>
      </c>
      <c r="D22" s="6" t="s">
        <v>241</v>
      </c>
      <c r="E22" s="4" t="s">
        <v>283</v>
      </c>
    </row>
    <row r="23" customFormat="false" ht="82.5" hidden="false" customHeight="true" outlineLevel="0" collapsed="false">
      <c r="A23" s="6" t="s">
        <v>284</v>
      </c>
      <c r="B23" s="6" t="s">
        <v>100</v>
      </c>
      <c r="C23" s="6" t="s">
        <v>282</v>
      </c>
      <c r="D23" s="6" t="s">
        <v>244</v>
      </c>
      <c r="E23" s="4" t="s">
        <v>285</v>
      </c>
    </row>
    <row r="24" customFormat="false" ht="82.5" hidden="false" customHeight="true" outlineLevel="0" collapsed="false">
      <c r="A24" s="6" t="s">
        <v>286</v>
      </c>
      <c r="B24" s="6" t="s">
        <v>107</v>
      </c>
      <c r="C24" s="6" t="s">
        <v>287</v>
      </c>
      <c r="D24" s="6" t="s">
        <v>241</v>
      </c>
      <c r="E24" s="4" t="s">
        <v>288</v>
      </c>
    </row>
    <row r="25" customFormat="false" ht="82.5" hidden="false" customHeight="true" outlineLevel="0" collapsed="false">
      <c r="A25" s="6" t="s">
        <v>289</v>
      </c>
      <c r="B25" s="6" t="s">
        <v>109</v>
      </c>
      <c r="C25" s="6" t="s">
        <v>287</v>
      </c>
      <c r="D25" s="6" t="s">
        <v>244</v>
      </c>
      <c r="E25" s="4" t="s">
        <v>290</v>
      </c>
    </row>
    <row r="26" customFormat="false" ht="82.5" hidden="false" customHeight="true" outlineLevel="0" collapsed="false">
      <c r="A26" s="6" t="s">
        <v>291</v>
      </c>
      <c r="B26" s="6" t="s">
        <v>116</v>
      </c>
      <c r="C26" s="6" t="s">
        <v>292</v>
      </c>
      <c r="D26" s="6" t="s">
        <v>241</v>
      </c>
      <c r="E26" s="4" t="s">
        <v>293</v>
      </c>
    </row>
    <row r="27" customFormat="false" ht="67.5" hidden="false" customHeight="true" outlineLevel="0" collapsed="false">
      <c r="A27" s="6" t="s">
        <v>294</v>
      </c>
      <c r="B27" s="6" t="s">
        <v>118</v>
      </c>
      <c r="C27" s="6" t="s">
        <v>292</v>
      </c>
      <c r="D27" s="6" t="s">
        <v>244</v>
      </c>
      <c r="E27" s="4" t="s">
        <v>295</v>
      </c>
    </row>
    <row r="28" customFormat="false" ht="67.5" hidden="false" customHeight="true" outlineLevel="0" collapsed="false">
      <c r="A28" s="6" t="s">
        <v>296</v>
      </c>
      <c r="B28" s="6" t="s">
        <v>135</v>
      </c>
      <c r="C28" s="6" t="s">
        <v>297</v>
      </c>
      <c r="D28" s="6" t="s">
        <v>241</v>
      </c>
      <c r="E28" s="4" t="s">
        <v>298</v>
      </c>
    </row>
    <row r="29" customFormat="false" ht="67.5" hidden="false" customHeight="true" outlineLevel="0" collapsed="false">
      <c r="A29" s="6" t="s">
        <v>299</v>
      </c>
      <c r="B29" s="6" t="s">
        <v>137</v>
      </c>
      <c r="C29" s="6" t="s">
        <v>297</v>
      </c>
      <c r="D29" s="6" t="s">
        <v>244</v>
      </c>
      <c r="E29" s="4" t="s">
        <v>300</v>
      </c>
    </row>
    <row r="30" customFormat="false" ht="67.5" hidden="false" customHeight="true" outlineLevel="0" collapsed="false">
      <c r="A30" s="6" t="s">
        <v>301</v>
      </c>
      <c r="B30" s="6" t="s">
        <v>143</v>
      </c>
      <c r="C30" s="6" t="s">
        <v>302</v>
      </c>
      <c r="D30" s="6" t="s">
        <v>241</v>
      </c>
      <c r="E30" s="4" t="s">
        <v>303</v>
      </c>
    </row>
    <row r="31" customFormat="false" ht="67.5" hidden="false" customHeight="true" outlineLevel="0" collapsed="false">
      <c r="A31" s="6" t="s">
        <v>304</v>
      </c>
      <c r="B31" s="6" t="s">
        <v>145</v>
      </c>
      <c r="C31" s="6" t="s">
        <v>302</v>
      </c>
      <c r="D31" s="6" t="s">
        <v>244</v>
      </c>
      <c r="E31" s="4" t="s">
        <v>305</v>
      </c>
    </row>
  </sheetData>
  <mergeCells count="3">
    <mergeCell ref="A1:E1"/>
    <mergeCell ref="A2:E2"/>
    <mergeCell ref="A3:E3"/>
  </mergeCells>
  <conditionalFormatting sqref="D5:D31">
    <cfRule type="cellIs" priority="2" operator="equal" aboveAverage="0" equalAverage="0" bottom="0" percent="0" rank="0" text="" dxfId="0">
      <formula>"Positivo"</formula>
    </cfRule>
    <cfRule type="cellIs" priority="3" operator="equal" aboveAverage="0" equalAverage="0" bottom="0" percent="0" rank="0" text="" dxfId="2">
      <formula>"Negativo"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17" min="2" style="0" width="4.4"/>
    <col collapsed="false" customWidth="true" hidden="false" outlineLevel="0" max="18" min="18" style="0" width="34"/>
  </cols>
  <sheetData>
    <row r="1" customFormat="false" ht="25.5" hidden="false" customHeight="true" outlineLevel="0" collapsed="false">
      <c r="A1" s="1" t="s">
        <v>306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2" t="s">
        <v>307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12" t="s">
        <v>308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customFormat="false" ht="91.5" hidden="false" customHeight="true" outlineLevel="0" collapsed="false">
      <c r="A4" s="13" t="s">
        <v>309</v>
      </c>
      <c r="B4" s="14" t="s">
        <v>26</v>
      </c>
      <c r="C4" s="14" t="s">
        <v>34</v>
      </c>
      <c r="D4" s="14" t="s">
        <v>38</v>
      </c>
      <c r="E4" s="14" t="s">
        <v>42</v>
      </c>
      <c r="F4" s="14" t="s">
        <v>49</v>
      </c>
      <c r="G4" s="14" t="s">
        <v>54</v>
      </c>
      <c r="H4" s="14" t="s">
        <v>58</v>
      </c>
      <c r="I4" s="14" t="s">
        <v>62</v>
      </c>
      <c r="J4" s="14" t="s">
        <v>67</v>
      </c>
      <c r="K4" s="14" t="s">
        <v>72</v>
      </c>
      <c r="L4" s="14" t="s">
        <v>93</v>
      </c>
      <c r="M4" s="14" t="s">
        <v>102</v>
      </c>
      <c r="N4" s="14" t="s">
        <v>111</v>
      </c>
      <c r="O4" s="14" t="s">
        <v>121</v>
      </c>
      <c r="P4" s="14" t="s">
        <v>130</v>
      </c>
      <c r="Q4" s="14" t="s">
        <v>139</v>
      </c>
      <c r="R4" s="5" t="s">
        <v>310</v>
      </c>
    </row>
    <row r="5" customFormat="false" ht="25.5" hidden="false" customHeight="true" outlineLevel="0" collapsed="false">
      <c r="A5" s="15" t="s">
        <v>311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8" t="s">
        <v>312</v>
      </c>
      <c r="N5" s="17"/>
      <c r="O5" s="17"/>
      <c r="P5" s="18" t="s">
        <v>312</v>
      </c>
      <c r="Q5" s="17"/>
      <c r="R5" s="4" t="s">
        <v>313</v>
      </c>
    </row>
    <row r="6" customFormat="false" ht="25.5" hidden="false" customHeight="true" outlineLevel="0" collapsed="false">
      <c r="A6" s="15" t="s">
        <v>314</v>
      </c>
      <c r="B6" s="17"/>
      <c r="C6" s="16"/>
      <c r="D6" s="17"/>
      <c r="E6" s="17"/>
      <c r="F6" s="17"/>
      <c r="G6" s="17"/>
      <c r="H6" s="17"/>
      <c r="I6" s="18" t="s">
        <v>312</v>
      </c>
      <c r="J6" s="17"/>
      <c r="K6" s="17"/>
      <c r="L6" s="17"/>
      <c r="M6" s="18" t="s">
        <v>312</v>
      </c>
      <c r="N6" s="17"/>
      <c r="O6" s="17"/>
      <c r="P6" s="17"/>
      <c r="Q6" s="17"/>
      <c r="R6" s="4" t="s">
        <v>315</v>
      </c>
    </row>
    <row r="7" customFormat="false" ht="25.5" hidden="false" customHeight="true" outlineLevel="0" collapsed="false">
      <c r="A7" s="15" t="s">
        <v>316</v>
      </c>
      <c r="B7" s="17"/>
      <c r="C7" s="17"/>
      <c r="D7" s="16"/>
      <c r="E7" s="18" t="s">
        <v>312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4" t="s">
        <v>42</v>
      </c>
    </row>
    <row r="8" customFormat="false" ht="25.5" hidden="false" customHeight="true" outlineLevel="0" collapsed="false">
      <c r="A8" s="15" t="s">
        <v>317</v>
      </c>
      <c r="B8" s="17"/>
      <c r="C8" s="17"/>
      <c r="D8" s="18" t="s">
        <v>312</v>
      </c>
      <c r="E8" s="16"/>
      <c r="F8" s="17"/>
      <c r="G8" s="17"/>
      <c r="H8" s="17"/>
      <c r="I8" s="17"/>
      <c r="J8" s="17"/>
      <c r="K8" s="17"/>
      <c r="L8" s="18" t="s">
        <v>312</v>
      </c>
      <c r="M8" s="17"/>
      <c r="N8" s="17"/>
      <c r="O8" s="17"/>
      <c r="P8" s="18" t="s">
        <v>312</v>
      </c>
      <c r="Q8" s="17"/>
      <c r="R8" s="4" t="s">
        <v>318</v>
      </c>
    </row>
    <row r="9" customFormat="false" ht="25.5" hidden="false" customHeight="true" outlineLevel="0" collapsed="false">
      <c r="A9" s="15" t="s">
        <v>319</v>
      </c>
      <c r="B9" s="17"/>
      <c r="C9" s="17"/>
      <c r="D9" s="17"/>
      <c r="E9" s="17"/>
      <c r="F9" s="16"/>
      <c r="G9" s="18" t="s">
        <v>312</v>
      </c>
      <c r="H9" s="18" t="s">
        <v>312</v>
      </c>
      <c r="I9" s="17"/>
      <c r="J9" s="18" t="s">
        <v>312</v>
      </c>
      <c r="K9" s="18" t="s">
        <v>312</v>
      </c>
      <c r="L9" s="17"/>
      <c r="M9" s="17"/>
      <c r="N9" s="18" t="s">
        <v>312</v>
      </c>
      <c r="O9" s="17"/>
      <c r="P9" s="17"/>
      <c r="Q9" s="17"/>
      <c r="R9" s="4" t="s">
        <v>320</v>
      </c>
    </row>
    <row r="10" customFormat="false" ht="25.5" hidden="false" customHeight="true" outlineLevel="0" collapsed="false">
      <c r="A10" s="15" t="s">
        <v>321</v>
      </c>
      <c r="B10" s="17"/>
      <c r="C10" s="17"/>
      <c r="D10" s="17"/>
      <c r="E10" s="17"/>
      <c r="F10" s="18" t="s">
        <v>312</v>
      </c>
      <c r="G10" s="16"/>
      <c r="H10" s="17"/>
      <c r="I10" s="17"/>
      <c r="J10" s="17"/>
      <c r="K10" s="18" t="s">
        <v>312</v>
      </c>
      <c r="L10" s="17"/>
      <c r="M10" s="17"/>
      <c r="N10" s="17"/>
      <c r="O10" s="17"/>
      <c r="P10" s="17"/>
      <c r="Q10" s="17"/>
      <c r="R10" s="4" t="s">
        <v>322</v>
      </c>
    </row>
    <row r="11" customFormat="false" ht="25.5" hidden="false" customHeight="true" outlineLevel="0" collapsed="false">
      <c r="A11" s="15" t="s">
        <v>323</v>
      </c>
      <c r="B11" s="17"/>
      <c r="C11" s="17"/>
      <c r="D11" s="17"/>
      <c r="E11" s="17"/>
      <c r="F11" s="18" t="s">
        <v>312</v>
      </c>
      <c r="G11" s="17"/>
      <c r="H11" s="16"/>
      <c r="I11" s="17"/>
      <c r="J11" s="18" t="s">
        <v>312</v>
      </c>
      <c r="K11" s="18" t="s">
        <v>312</v>
      </c>
      <c r="L11" s="17"/>
      <c r="M11" s="17"/>
      <c r="N11" s="18" t="s">
        <v>312</v>
      </c>
      <c r="O11" s="17"/>
      <c r="P11" s="17"/>
      <c r="Q11" s="17"/>
      <c r="R11" s="4" t="s">
        <v>324</v>
      </c>
    </row>
    <row r="12" customFormat="false" ht="25.5" hidden="false" customHeight="true" outlineLevel="0" collapsed="false">
      <c r="A12" s="15" t="s">
        <v>325</v>
      </c>
      <c r="B12" s="17"/>
      <c r="C12" s="18" t="s">
        <v>312</v>
      </c>
      <c r="D12" s="17"/>
      <c r="E12" s="17"/>
      <c r="F12" s="17"/>
      <c r="G12" s="17"/>
      <c r="H12" s="17"/>
      <c r="I12" s="16"/>
      <c r="J12" s="17"/>
      <c r="K12" s="17"/>
      <c r="L12" s="17"/>
      <c r="M12" s="18" t="s">
        <v>312</v>
      </c>
      <c r="N12" s="18" t="s">
        <v>312</v>
      </c>
      <c r="O12" s="17"/>
      <c r="P12" s="17"/>
      <c r="Q12" s="17"/>
      <c r="R12" s="4" t="s">
        <v>326</v>
      </c>
    </row>
    <row r="13" customFormat="false" ht="25.5" hidden="false" customHeight="true" outlineLevel="0" collapsed="false">
      <c r="A13" s="15" t="s">
        <v>327</v>
      </c>
      <c r="B13" s="17"/>
      <c r="C13" s="17"/>
      <c r="D13" s="17"/>
      <c r="E13" s="17"/>
      <c r="F13" s="18" t="s">
        <v>312</v>
      </c>
      <c r="G13" s="17"/>
      <c r="H13" s="18" t="s">
        <v>312</v>
      </c>
      <c r="I13" s="17"/>
      <c r="J13" s="16"/>
      <c r="K13" s="17"/>
      <c r="L13" s="17"/>
      <c r="M13" s="17"/>
      <c r="N13" s="17"/>
      <c r="O13" s="17"/>
      <c r="P13" s="17"/>
      <c r="Q13" s="17"/>
      <c r="R13" s="4" t="s">
        <v>328</v>
      </c>
    </row>
    <row r="14" customFormat="false" ht="25.5" hidden="false" customHeight="true" outlineLevel="0" collapsed="false">
      <c r="A14" s="15" t="s">
        <v>329</v>
      </c>
      <c r="B14" s="17"/>
      <c r="C14" s="17"/>
      <c r="D14" s="17"/>
      <c r="E14" s="17"/>
      <c r="F14" s="17"/>
      <c r="G14" s="18" t="s">
        <v>312</v>
      </c>
      <c r="H14" s="18" t="s">
        <v>312</v>
      </c>
      <c r="I14" s="17"/>
      <c r="J14" s="17"/>
      <c r="K14" s="16"/>
      <c r="L14" s="17"/>
      <c r="M14" s="17"/>
      <c r="N14" s="17"/>
      <c r="O14" s="18" t="s">
        <v>312</v>
      </c>
      <c r="P14" s="17"/>
      <c r="Q14" s="17"/>
      <c r="R14" s="4" t="s">
        <v>330</v>
      </c>
    </row>
    <row r="15" customFormat="false" ht="25.5" hidden="false" customHeight="true" outlineLevel="0" collapsed="false">
      <c r="A15" s="19" t="s">
        <v>331</v>
      </c>
      <c r="B15" s="17"/>
      <c r="C15" s="17"/>
      <c r="D15" s="17"/>
      <c r="E15" s="18" t="s">
        <v>312</v>
      </c>
      <c r="F15" s="17"/>
      <c r="G15" s="17"/>
      <c r="H15" s="17"/>
      <c r="I15" s="17"/>
      <c r="J15" s="17"/>
      <c r="K15" s="17"/>
      <c r="L15" s="16"/>
      <c r="M15" s="17"/>
      <c r="N15" s="17"/>
      <c r="O15" s="17"/>
      <c r="P15" s="17"/>
      <c r="Q15" s="17"/>
      <c r="R15" s="4" t="s">
        <v>42</v>
      </c>
    </row>
    <row r="16" customFormat="false" ht="25.5" hidden="false" customHeight="true" outlineLevel="0" collapsed="false">
      <c r="A16" s="19" t="s">
        <v>332</v>
      </c>
      <c r="B16" s="18" t="s">
        <v>312</v>
      </c>
      <c r="C16" s="18" t="s">
        <v>312</v>
      </c>
      <c r="D16" s="17"/>
      <c r="E16" s="17"/>
      <c r="F16" s="17"/>
      <c r="G16" s="17"/>
      <c r="H16" s="17"/>
      <c r="I16" s="18" t="s">
        <v>312</v>
      </c>
      <c r="J16" s="17"/>
      <c r="K16" s="17"/>
      <c r="L16" s="17"/>
      <c r="M16" s="16"/>
      <c r="N16" s="17"/>
      <c r="O16" s="17"/>
      <c r="P16" s="17"/>
      <c r="Q16" s="17"/>
      <c r="R16" s="4" t="s">
        <v>333</v>
      </c>
    </row>
    <row r="17" customFormat="false" ht="25.5" hidden="false" customHeight="true" outlineLevel="0" collapsed="false">
      <c r="A17" s="19" t="s">
        <v>334</v>
      </c>
      <c r="B17" s="17"/>
      <c r="C17" s="17"/>
      <c r="D17" s="17"/>
      <c r="E17" s="17"/>
      <c r="F17" s="18" t="s">
        <v>312</v>
      </c>
      <c r="G17" s="18" t="s">
        <v>312</v>
      </c>
      <c r="H17" s="18" t="s">
        <v>312</v>
      </c>
      <c r="I17" s="18" t="s">
        <v>312</v>
      </c>
      <c r="J17" s="17"/>
      <c r="K17" s="17"/>
      <c r="L17" s="17"/>
      <c r="M17" s="17"/>
      <c r="N17" s="16"/>
      <c r="O17" s="17"/>
      <c r="P17" s="17"/>
      <c r="Q17" s="17"/>
      <c r="R17" s="4" t="s">
        <v>335</v>
      </c>
    </row>
    <row r="18" customFormat="false" ht="25.5" hidden="false" customHeight="true" outlineLevel="0" collapsed="false">
      <c r="A18" s="19" t="s">
        <v>336</v>
      </c>
      <c r="B18" s="17"/>
      <c r="C18" s="17"/>
      <c r="D18" s="17"/>
      <c r="E18" s="17"/>
      <c r="F18" s="17"/>
      <c r="G18" s="17"/>
      <c r="H18" s="17"/>
      <c r="I18" s="17"/>
      <c r="J18" s="17"/>
      <c r="K18" s="18" t="s">
        <v>312</v>
      </c>
      <c r="L18" s="17"/>
      <c r="M18" s="17"/>
      <c r="N18" s="17"/>
      <c r="O18" s="16"/>
      <c r="P18" s="17"/>
      <c r="Q18" s="17"/>
      <c r="R18" s="4" t="s">
        <v>72</v>
      </c>
    </row>
    <row r="19" customFormat="false" ht="25.5" hidden="false" customHeight="true" outlineLevel="0" collapsed="false">
      <c r="A19" s="19" t="s">
        <v>337</v>
      </c>
      <c r="B19" s="18" t="s">
        <v>312</v>
      </c>
      <c r="C19" s="17"/>
      <c r="D19" s="17"/>
      <c r="E19" s="18" t="s">
        <v>312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6"/>
      <c r="Q19" s="17"/>
      <c r="R19" s="4" t="s">
        <v>338</v>
      </c>
    </row>
    <row r="20" customFormat="false" ht="25.5" hidden="false" customHeight="true" outlineLevel="0" collapsed="false">
      <c r="A20" s="20" t="s">
        <v>339</v>
      </c>
      <c r="B20" s="18" t="s">
        <v>312</v>
      </c>
      <c r="C20" s="18" t="s">
        <v>312</v>
      </c>
      <c r="D20" s="18" t="s">
        <v>312</v>
      </c>
      <c r="E20" s="18" t="s">
        <v>312</v>
      </c>
      <c r="F20" s="18" t="s">
        <v>312</v>
      </c>
      <c r="G20" s="18" t="s">
        <v>312</v>
      </c>
      <c r="H20" s="18" t="s">
        <v>312</v>
      </c>
      <c r="I20" s="18" t="s">
        <v>312</v>
      </c>
      <c r="J20" s="18" t="s">
        <v>312</v>
      </c>
      <c r="K20" s="18" t="s">
        <v>312</v>
      </c>
      <c r="L20" s="18" t="s">
        <v>312</v>
      </c>
      <c r="M20" s="18" t="s">
        <v>312</v>
      </c>
      <c r="N20" s="18" t="s">
        <v>312</v>
      </c>
      <c r="O20" s="18" t="s">
        <v>312</v>
      </c>
      <c r="P20" s="18" t="s">
        <v>312</v>
      </c>
      <c r="Q20" s="16"/>
      <c r="R20" s="21" t="s">
        <v>340</v>
      </c>
    </row>
    <row r="22" customFormat="false" ht="43.5" hidden="false" customHeight="true" outlineLevel="0" collapsed="false">
      <c r="A22" s="11" t="s">
        <v>341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</sheetData>
  <mergeCells count="4">
    <mergeCell ref="A1:R1"/>
    <mergeCell ref="A2:R2"/>
    <mergeCell ref="A3:R3"/>
    <mergeCell ref="A22:R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2026-08-05T22:12:30Z</dcterms:created>
  <dc:creator>openpyxl</dc:creator>
  <dc:description/>
  <dc:language>en-US</dc:language>
  <cp:lastModifiedBy/>
  <dcterms:modified xsi:type="dcterms:W3CDTF">2026-08-05T22:12:31Z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